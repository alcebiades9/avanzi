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lcebiades\Downloads\"/>
    </mc:Choice>
  </mc:AlternateContent>
  <xr:revisionPtr revIDLastSave="0" documentId="13_ncr:1_{FE2537FB-66A7-4F33-BCC1-B9BE4240352E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Cadastro_MP" sheetId="1" state="hidden" r:id="rId1"/>
    <sheet name="Registro_Produção" sheetId="2" r:id="rId2"/>
    <sheet name="Painel de Produção" sheetId="3" r:id="rId3"/>
    <sheet name="Média" sheetId="4" r:id="rId4"/>
    <sheet name="MRP" sheetId="5" r:id="rId5"/>
    <sheet name="CRP" sheetId="6" r:id="rId6"/>
  </sheets>
  <externalReferences>
    <externalReference r:id="rId7"/>
  </externalReferences>
  <definedNames>
    <definedName name="_xlnm._FilterDatabase" localSheetId="3" hidden="1">Média!$A$1:$A$52</definedName>
    <definedName name="NativeTimeline_DATA">#N/A</definedName>
    <definedName name="NativeTimeline_DATA1">#N/A</definedName>
    <definedName name="NativeTimeline_DATA2">#N/A</definedName>
    <definedName name="NativeTimeline_DATA3">#N/A</definedName>
    <definedName name="NativeTimeline_DATA4">#N/A</definedName>
  </definedNames>
  <calcPr calcId="191029" iterateDelta="1E-4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0" i="6" l="1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C47" i="6"/>
  <c r="B47" i="6"/>
  <c r="A47" i="6"/>
  <c r="C46" i="6"/>
  <c r="B46" i="6"/>
  <c r="A46" i="6"/>
  <c r="C45" i="6"/>
  <c r="B45" i="6"/>
  <c r="A45" i="6"/>
  <c r="B37" i="6"/>
  <c r="A37" i="6"/>
  <c r="B23" i="6"/>
  <c r="A23" i="6"/>
  <c r="B22" i="6"/>
  <c r="A22" i="6"/>
  <c r="B21" i="6"/>
  <c r="A21" i="6"/>
  <c r="B20" i="6"/>
  <c r="A20" i="6"/>
  <c r="B19" i="6"/>
  <c r="A19" i="6"/>
  <c r="B18" i="6"/>
  <c r="A18" i="6"/>
  <c r="B10" i="6"/>
  <c r="A10" i="6"/>
  <c r="B6" i="6"/>
  <c r="C112" i="5"/>
  <c r="B112" i="5"/>
  <c r="C111" i="5"/>
  <c r="B111" i="5"/>
  <c r="C110" i="5"/>
  <c r="B110" i="5"/>
  <c r="C109" i="5"/>
  <c r="B109" i="5"/>
  <c r="C108" i="5"/>
  <c r="B108" i="5"/>
  <c r="C107" i="5"/>
  <c r="B107" i="5"/>
  <c r="C106" i="5"/>
  <c r="B106" i="5"/>
  <c r="C105" i="5"/>
  <c r="B105" i="5"/>
  <c r="C104" i="5"/>
  <c r="B104" i="5"/>
  <c r="C103" i="5"/>
  <c r="B103" i="5"/>
  <c r="C102" i="5"/>
  <c r="B102" i="5"/>
  <c r="C101" i="5"/>
  <c r="B101" i="5"/>
  <c r="C100" i="5"/>
  <c r="B100" i="5"/>
  <c r="C99" i="5"/>
  <c r="B99" i="5"/>
  <c r="C98" i="5"/>
  <c r="B98" i="5"/>
  <c r="C97" i="5"/>
  <c r="B97" i="5"/>
  <c r="C96" i="5"/>
  <c r="B96" i="5"/>
  <c r="C95" i="5"/>
  <c r="B95" i="5"/>
  <c r="C94" i="5"/>
  <c r="B94" i="5"/>
  <c r="C93" i="5"/>
  <c r="B93" i="5"/>
  <c r="C92" i="5"/>
  <c r="B92" i="5"/>
  <c r="C91" i="5"/>
  <c r="B91" i="5"/>
  <c r="C90" i="5"/>
  <c r="B90" i="5"/>
  <c r="C89" i="5"/>
  <c r="B89" i="5"/>
  <c r="C88" i="5"/>
  <c r="B88" i="5"/>
  <c r="C87" i="5"/>
  <c r="B87" i="5"/>
  <c r="C86" i="5"/>
  <c r="B86" i="5"/>
  <c r="C85" i="5"/>
  <c r="B85" i="5"/>
  <c r="B84" i="5"/>
  <c r="B83" i="5"/>
  <c r="B82" i="5"/>
  <c r="B81" i="5"/>
  <c r="B40" i="5"/>
  <c r="M1173" i="2"/>
  <c r="L1173" i="2"/>
  <c r="K1173" i="2"/>
  <c r="M1172" i="2"/>
  <c r="L1172" i="2"/>
  <c r="K1172" i="2"/>
  <c r="M1171" i="2"/>
  <c r="L1171" i="2"/>
  <c r="K1171" i="2"/>
  <c r="M1170" i="2"/>
  <c r="L1170" i="2"/>
  <c r="K1170" i="2"/>
  <c r="M1169" i="2"/>
  <c r="L1169" i="2"/>
  <c r="K1169" i="2"/>
  <c r="M1168" i="2"/>
  <c r="L1168" i="2"/>
  <c r="K1168" i="2"/>
  <c r="M1167" i="2"/>
  <c r="L1167" i="2"/>
  <c r="K1167" i="2"/>
  <c r="M1166" i="2"/>
  <c r="L1166" i="2"/>
  <c r="K1166" i="2"/>
  <c r="M1165" i="2"/>
  <c r="L1165" i="2"/>
  <c r="K1165" i="2"/>
  <c r="M1164" i="2"/>
  <c r="L1164" i="2"/>
  <c r="K1164" i="2"/>
  <c r="M1163" i="2"/>
  <c r="L1163" i="2"/>
  <c r="K1163" i="2"/>
  <c r="M1162" i="2"/>
  <c r="L1162" i="2"/>
  <c r="K1162" i="2"/>
  <c r="M1161" i="2"/>
  <c r="L1161" i="2"/>
  <c r="K1161" i="2"/>
  <c r="M1160" i="2"/>
  <c r="L1160" i="2"/>
  <c r="K1160" i="2"/>
  <c r="M1159" i="2"/>
  <c r="L1159" i="2"/>
  <c r="K1159" i="2"/>
  <c r="M1158" i="2"/>
  <c r="L1158" i="2"/>
  <c r="K1158" i="2"/>
  <c r="M1157" i="2"/>
  <c r="L1157" i="2"/>
  <c r="K1157" i="2"/>
  <c r="M1156" i="2"/>
  <c r="L1156" i="2"/>
  <c r="K1156" i="2"/>
  <c r="M1155" i="2"/>
  <c r="L1155" i="2"/>
  <c r="K1155" i="2"/>
  <c r="M1154" i="2"/>
  <c r="L1154" i="2"/>
  <c r="K1154" i="2"/>
  <c r="M1153" i="2"/>
  <c r="L1153" i="2"/>
  <c r="K1153" i="2"/>
  <c r="M1152" i="2"/>
  <c r="L1152" i="2"/>
  <c r="K1152" i="2"/>
  <c r="M1151" i="2"/>
  <c r="L1151" i="2"/>
  <c r="K1151" i="2"/>
  <c r="M1150" i="2"/>
  <c r="L1150" i="2"/>
  <c r="K1150" i="2"/>
  <c r="M1149" i="2"/>
  <c r="L1149" i="2"/>
  <c r="K1149" i="2"/>
  <c r="M1148" i="2"/>
  <c r="L1148" i="2"/>
  <c r="K1148" i="2"/>
  <c r="M1147" i="2"/>
  <c r="L1147" i="2"/>
  <c r="K1147" i="2"/>
  <c r="M1146" i="2"/>
  <c r="L1146" i="2"/>
  <c r="K1146" i="2"/>
  <c r="M1145" i="2"/>
  <c r="L1145" i="2"/>
  <c r="K1145" i="2"/>
  <c r="M1144" i="2"/>
  <c r="L1144" i="2"/>
  <c r="K1144" i="2"/>
  <c r="M1143" i="2"/>
  <c r="L1143" i="2"/>
  <c r="K1143" i="2"/>
  <c r="M1142" i="2"/>
  <c r="L1142" i="2"/>
  <c r="K1142" i="2"/>
  <c r="M1141" i="2"/>
  <c r="L1141" i="2"/>
  <c r="K1141" i="2"/>
  <c r="M1140" i="2"/>
  <c r="L1140" i="2"/>
  <c r="K1140" i="2"/>
  <c r="M1139" i="2"/>
  <c r="L1139" i="2"/>
  <c r="K1139" i="2"/>
  <c r="M1138" i="2"/>
  <c r="L1138" i="2"/>
  <c r="K1138" i="2"/>
  <c r="M1137" i="2"/>
  <c r="L1137" i="2"/>
  <c r="K1137" i="2"/>
  <c r="M1136" i="2"/>
  <c r="L1136" i="2"/>
  <c r="K1136" i="2"/>
  <c r="M1135" i="2"/>
  <c r="L1135" i="2"/>
  <c r="K1135" i="2"/>
  <c r="M1134" i="2"/>
  <c r="L1134" i="2"/>
  <c r="K1134" i="2"/>
  <c r="M1133" i="2"/>
  <c r="L1133" i="2"/>
  <c r="K1133" i="2"/>
  <c r="M1132" i="2"/>
  <c r="L1132" i="2"/>
  <c r="K1132" i="2"/>
  <c r="M1131" i="2"/>
  <c r="L1131" i="2"/>
  <c r="K1131" i="2"/>
  <c r="M1130" i="2"/>
  <c r="L1130" i="2"/>
  <c r="K1130" i="2"/>
  <c r="M1129" i="2"/>
  <c r="L1129" i="2"/>
  <c r="K1129" i="2"/>
  <c r="M1128" i="2"/>
  <c r="L1128" i="2"/>
  <c r="K1128" i="2"/>
  <c r="M1127" i="2"/>
  <c r="L1127" i="2"/>
  <c r="K1127" i="2"/>
  <c r="M1126" i="2"/>
  <c r="L1126" i="2"/>
  <c r="K1126" i="2"/>
  <c r="M1125" i="2"/>
  <c r="L1125" i="2"/>
  <c r="K1125" i="2"/>
  <c r="M1124" i="2"/>
  <c r="L1124" i="2"/>
  <c r="K1124" i="2"/>
  <c r="M1123" i="2"/>
  <c r="L1123" i="2"/>
  <c r="K1123" i="2"/>
  <c r="M1122" i="2"/>
  <c r="L1122" i="2"/>
  <c r="K1122" i="2"/>
  <c r="M1121" i="2"/>
  <c r="L1121" i="2"/>
  <c r="K1121" i="2"/>
  <c r="M1120" i="2"/>
  <c r="L1120" i="2"/>
  <c r="K1120" i="2"/>
  <c r="M1119" i="2"/>
  <c r="L1119" i="2"/>
  <c r="K1119" i="2"/>
  <c r="M1118" i="2"/>
  <c r="L1118" i="2"/>
  <c r="K1118" i="2"/>
  <c r="M1117" i="2"/>
  <c r="L1117" i="2"/>
  <c r="K1117" i="2"/>
  <c r="M1116" i="2"/>
  <c r="L1116" i="2"/>
  <c r="K1116" i="2"/>
  <c r="M1115" i="2"/>
  <c r="L1115" i="2"/>
  <c r="K1115" i="2"/>
  <c r="M1114" i="2"/>
  <c r="L1114" i="2"/>
  <c r="M1113" i="2"/>
  <c r="L1113" i="2"/>
  <c r="K1113" i="2"/>
  <c r="M1112" i="2"/>
  <c r="L1112" i="2"/>
  <c r="K1112" i="2"/>
  <c r="M1111" i="2"/>
  <c r="L1111" i="2"/>
  <c r="K1111" i="2"/>
  <c r="M1110" i="2"/>
  <c r="L1110" i="2"/>
  <c r="K1110" i="2"/>
  <c r="M1109" i="2"/>
  <c r="L1109" i="2"/>
  <c r="K1109" i="2"/>
  <c r="M1108" i="2"/>
  <c r="L1108" i="2"/>
  <c r="K1108" i="2"/>
  <c r="M1107" i="2"/>
  <c r="L1107" i="2"/>
  <c r="K1107" i="2"/>
  <c r="M1106" i="2"/>
  <c r="L1106" i="2"/>
  <c r="K1106" i="2"/>
  <c r="M1105" i="2"/>
  <c r="L1105" i="2"/>
  <c r="K1105" i="2"/>
  <c r="M1104" i="2"/>
  <c r="L1104" i="2"/>
  <c r="K1104" i="2"/>
  <c r="M1103" i="2"/>
  <c r="L1103" i="2"/>
  <c r="K1103" i="2"/>
  <c r="M1102" i="2"/>
  <c r="L1102" i="2"/>
  <c r="K1102" i="2"/>
  <c r="M1101" i="2"/>
  <c r="L1101" i="2"/>
  <c r="K1101" i="2"/>
  <c r="M1100" i="2"/>
  <c r="L1100" i="2"/>
  <c r="K1100" i="2"/>
  <c r="M1099" i="2"/>
  <c r="L1099" i="2"/>
  <c r="K1099" i="2"/>
  <c r="M1098" i="2"/>
  <c r="L1098" i="2"/>
  <c r="K1098" i="2"/>
  <c r="M1097" i="2"/>
  <c r="L1097" i="2"/>
  <c r="K1097" i="2"/>
  <c r="M1096" i="2"/>
  <c r="L1096" i="2"/>
  <c r="K1096" i="2"/>
  <c r="M1095" i="2"/>
  <c r="L1095" i="2"/>
  <c r="K1095" i="2"/>
  <c r="M1094" i="2"/>
  <c r="L1094" i="2"/>
  <c r="K1094" i="2"/>
  <c r="M1093" i="2"/>
  <c r="L1093" i="2"/>
  <c r="K1093" i="2"/>
  <c r="M1092" i="2"/>
  <c r="L1092" i="2"/>
  <c r="K1092" i="2"/>
  <c r="M1091" i="2"/>
  <c r="L1091" i="2"/>
  <c r="K1091" i="2"/>
  <c r="M1090" i="2"/>
  <c r="L1090" i="2"/>
  <c r="K1090" i="2"/>
  <c r="M1089" i="2"/>
  <c r="L1089" i="2"/>
  <c r="K1089" i="2"/>
  <c r="M1088" i="2"/>
  <c r="L1088" i="2"/>
  <c r="K1088" i="2"/>
  <c r="M1087" i="2"/>
  <c r="L1087" i="2"/>
  <c r="K1087" i="2"/>
  <c r="M1086" i="2"/>
  <c r="L1086" i="2"/>
  <c r="K1086" i="2"/>
  <c r="M1085" i="2"/>
  <c r="L1085" i="2"/>
  <c r="K1085" i="2"/>
  <c r="M1084" i="2"/>
  <c r="L1084" i="2"/>
  <c r="K1084" i="2"/>
  <c r="M1083" i="2"/>
  <c r="L1083" i="2"/>
  <c r="K1083" i="2"/>
  <c r="M1082" i="2"/>
  <c r="L1082" i="2"/>
  <c r="K1082" i="2"/>
  <c r="M1081" i="2"/>
  <c r="L1081" i="2"/>
  <c r="K1081" i="2"/>
  <c r="M1080" i="2"/>
  <c r="L1080" i="2"/>
  <c r="K1080" i="2"/>
  <c r="M1079" i="2"/>
  <c r="L1079" i="2"/>
  <c r="K1079" i="2"/>
  <c r="M1078" i="2"/>
  <c r="L1078" i="2"/>
  <c r="K1078" i="2"/>
  <c r="M1077" i="2"/>
  <c r="L1077" i="2"/>
  <c r="K1077" i="2"/>
  <c r="M1076" i="2"/>
  <c r="L1076" i="2"/>
  <c r="K1076" i="2"/>
  <c r="M1075" i="2"/>
  <c r="L1075" i="2"/>
  <c r="K1075" i="2"/>
  <c r="M1074" i="2"/>
  <c r="L1074" i="2"/>
  <c r="K1074" i="2"/>
  <c r="M1073" i="2"/>
  <c r="L1073" i="2"/>
  <c r="K1073" i="2"/>
  <c r="M1072" i="2"/>
  <c r="L1072" i="2"/>
  <c r="K1072" i="2"/>
  <c r="M1071" i="2"/>
  <c r="L1071" i="2"/>
  <c r="K1071" i="2"/>
  <c r="M1070" i="2"/>
  <c r="L1070" i="2"/>
  <c r="K1070" i="2"/>
  <c r="M1069" i="2"/>
  <c r="L1069" i="2"/>
  <c r="K1069" i="2"/>
  <c r="M1068" i="2"/>
  <c r="L1068" i="2"/>
  <c r="K1068" i="2"/>
  <c r="M1067" i="2"/>
  <c r="L1067" i="2"/>
  <c r="K1067" i="2"/>
  <c r="M1066" i="2"/>
  <c r="L1066" i="2"/>
  <c r="K1066" i="2"/>
  <c r="M1065" i="2"/>
  <c r="L1065" i="2"/>
  <c r="K1065" i="2"/>
  <c r="M1064" i="2"/>
  <c r="L1064" i="2"/>
  <c r="K1064" i="2"/>
  <c r="M1063" i="2"/>
  <c r="L1063" i="2"/>
  <c r="K1063" i="2"/>
  <c r="M1062" i="2"/>
  <c r="L1062" i="2"/>
  <c r="K1062" i="2"/>
  <c r="M1061" i="2"/>
  <c r="L1061" i="2"/>
  <c r="K1061" i="2"/>
  <c r="M1060" i="2"/>
  <c r="L1060" i="2"/>
  <c r="K1060" i="2"/>
  <c r="M1059" i="2"/>
  <c r="L1059" i="2"/>
  <c r="K1059" i="2"/>
  <c r="M1058" i="2"/>
  <c r="L1058" i="2"/>
  <c r="K1058" i="2"/>
  <c r="M1057" i="2"/>
  <c r="L1057" i="2"/>
  <c r="K1057" i="2"/>
  <c r="M1056" i="2"/>
  <c r="L1056" i="2"/>
  <c r="K1056" i="2"/>
  <c r="M1055" i="2"/>
  <c r="L1055" i="2"/>
  <c r="K1055" i="2"/>
  <c r="M1054" i="2"/>
  <c r="L1054" i="2"/>
  <c r="K1054" i="2"/>
  <c r="M1053" i="2"/>
  <c r="L1053" i="2"/>
  <c r="K1053" i="2"/>
  <c r="M1052" i="2"/>
  <c r="L1052" i="2"/>
  <c r="K1052" i="2"/>
  <c r="M1051" i="2"/>
  <c r="L1051" i="2"/>
  <c r="K1051" i="2"/>
  <c r="M1050" i="2"/>
  <c r="L1050" i="2"/>
  <c r="K1050" i="2"/>
  <c r="M1049" i="2"/>
  <c r="L1049" i="2"/>
  <c r="K1049" i="2"/>
  <c r="M1048" i="2"/>
  <c r="L1048" i="2"/>
  <c r="K1048" i="2"/>
  <c r="M1047" i="2"/>
  <c r="L1047" i="2"/>
  <c r="K1047" i="2"/>
  <c r="M1046" i="2"/>
  <c r="L1046" i="2"/>
  <c r="K1046" i="2"/>
  <c r="M1045" i="2"/>
  <c r="L1045" i="2"/>
  <c r="K1045" i="2"/>
  <c r="M1044" i="2"/>
  <c r="L1044" i="2"/>
  <c r="K1044" i="2"/>
  <c r="M1043" i="2"/>
  <c r="L1043" i="2"/>
  <c r="K1043" i="2"/>
  <c r="M1042" i="2"/>
  <c r="L1042" i="2"/>
  <c r="K1042" i="2"/>
  <c r="M1041" i="2"/>
  <c r="L1041" i="2"/>
  <c r="K1041" i="2"/>
  <c r="M1040" i="2"/>
  <c r="L1040" i="2"/>
  <c r="K1040" i="2"/>
  <c r="M1039" i="2"/>
  <c r="L1039" i="2"/>
  <c r="K1039" i="2"/>
  <c r="M1038" i="2"/>
  <c r="L1038" i="2"/>
  <c r="K1038" i="2"/>
  <c r="M1037" i="2"/>
  <c r="L1037" i="2"/>
  <c r="K1037" i="2"/>
  <c r="M1036" i="2"/>
  <c r="L1036" i="2"/>
  <c r="K1036" i="2"/>
  <c r="M1035" i="2"/>
  <c r="L1035" i="2"/>
  <c r="K1035" i="2"/>
  <c r="M1034" i="2"/>
  <c r="L1034" i="2"/>
  <c r="K1034" i="2"/>
  <c r="M1033" i="2"/>
  <c r="L1033" i="2"/>
  <c r="K1033" i="2"/>
  <c r="M1032" i="2"/>
  <c r="L1032" i="2"/>
  <c r="K1032" i="2"/>
  <c r="M1031" i="2"/>
  <c r="L1031" i="2"/>
  <c r="K1031" i="2"/>
  <c r="M1030" i="2"/>
  <c r="L1030" i="2"/>
  <c r="K1030" i="2"/>
  <c r="M1029" i="2"/>
  <c r="L1029" i="2"/>
  <c r="K1029" i="2"/>
  <c r="M1028" i="2"/>
  <c r="L1028" i="2"/>
  <c r="K1028" i="2"/>
  <c r="M1027" i="2"/>
  <c r="L1027" i="2"/>
  <c r="K1027" i="2"/>
  <c r="M1026" i="2"/>
  <c r="L1026" i="2"/>
  <c r="K1026" i="2"/>
  <c r="M1025" i="2"/>
  <c r="L1025" i="2"/>
  <c r="K1025" i="2"/>
  <c r="M1024" i="2"/>
  <c r="L1024" i="2"/>
  <c r="K1024" i="2"/>
  <c r="M1023" i="2"/>
  <c r="L1023" i="2"/>
  <c r="K1023" i="2"/>
  <c r="M1022" i="2"/>
  <c r="L1022" i="2"/>
  <c r="K1022" i="2"/>
  <c r="M1021" i="2"/>
  <c r="L1021" i="2"/>
  <c r="K1021" i="2"/>
  <c r="M1020" i="2"/>
  <c r="L1020" i="2"/>
  <c r="K1020" i="2"/>
  <c r="M1019" i="2"/>
  <c r="L1019" i="2"/>
  <c r="K1019" i="2"/>
  <c r="M1018" i="2"/>
  <c r="L1018" i="2"/>
  <c r="K1018" i="2"/>
  <c r="M1017" i="2"/>
  <c r="L1017" i="2"/>
  <c r="K1017" i="2"/>
  <c r="M1016" i="2"/>
  <c r="L1016" i="2"/>
  <c r="K1016" i="2"/>
  <c r="M1015" i="2"/>
  <c r="L1015" i="2"/>
  <c r="K1015" i="2"/>
  <c r="M1014" i="2"/>
  <c r="L1014" i="2"/>
  <c r="K1014" i="2"/>
  <c r="M1013" i="2"/>
  <c r="L1013" i="2"/>
  <c r="K1013" i="2"/>
  <c r="M1012" i="2"/>
  <c r="L1012" i="2"/>
  <c r="K1012" i="2"/>
  <c r="M1011" i="2"/>
  <c r="L1011" i="2"/>
  <c r="K1011" i="2"/>
  <c r="M1010" i="2"/>
  <c r="L1010" i="2"/>
  <c r="K1010" i="2"/>
  <c r="M1009" i="2"/>
  <c r="L1009" i="2"/>
  <c r="K1009" i="2"/>
  <c r="M1008" i="2"/>
  <c r="L1008" i="2"/>
  <c r="K1008" i="2"/>
  <c r="M1007" i="2"/>
  <c r="L1007" i="2"/>
  <c r="K1007" i="2"/>
  <c r="M1006" i="2"/>
  <c r="L1006" i="2"/>
  <c r="K1006" i="2"/>
  <c r="M1005" i="2"/>
  <c r="L1005" i="2"/>
  <c r="K1005" i="2"/>
  <c r="M1004" i="2"/>
  <c r="L1004" i="2"/>
  <c r="K1004" i="2"/>
  <c r="M1003" i="2"/>
  <c r="L1003" i="2"/>
  <c r="K1003" i="2"/>
  <c r="M1002" i="2"/>
  <c r="L1002" i="2"/>
  <c r="K1002" i="2"/>
  <c r="M1001" i="2"/>
  <c r="L1001" i="2"/>
  <c r="K1001" i="2"/>
  <c r="M1000" i="2"/>
  <c r="L1000" i="2"/>
  <c r="K1000" i="2"/>
  <c r="M999" i="2"/>
  <c r="L999" i="2"/>
  <c r="K999" i="2"/>
  <c r="M998" i="2"/>
  <c r="L998" i="2"/>
  <c r="K998" i="2"/>
  <c r="M997" i="2"/>
  <c r="L997" i="2"/>
  <c r="K997" i="2"/>
  <c r="M996" i="2"/>
  <c r="L996" i="2"/>
  <c r="K996" i="2"/>
  <c r="M995" i="2"/>
  <c r="L995" i="2"/>
  <c r="K995" i="2"/>
  <c r="M994" i="2"/>
  <c r="L994" i="2"/>
  <c r="K994" i="2"/>
  <c r="M993" i="2"/>
  <c r="L993" i="2"/>
  <c r="K993" i="2"/>
  <c r="M992" i="2"/>
  <c r="L992" i="2"/>
  <c r="K992" i="2"/>
  <c r="M991" i="2"/>
  <c r="L991" i="2"/>
  <c r="K991" i="2"/>
  <c r="M990" i="2"/>
  <c r="L990" i="2"/>
  <c r="K990" i="2"/>
  <c r="M989" i="2"/>
  <c r="L989" i="2"/>
  <c r="K989" i="2"/>
  <c r="M988" i="2"/>
  <c r="L988" i="2"/>
  <c r="K988" i="2"/>
  <c r="M987" i="2"/>
  <c r="L987" i="2"/>
  <c r="K987" i="2"/>
  <c r="M986" i="2"/>
  <c r="L986" i="2"/>
  <c r="K986" i="2"/>
  <c r="M985" i="2"/>
  <c r="L985" i="2"/>
  <c r="K985" i="2"/>
  <c r="M984" i="2"/>
  <c r="L984" i="2"/>
  <c r="K984" i="2"/>
  <c r="M983" i="2"/>
  <c r="L983" i="2"/>
  <c r="K983" i="2"/>
  <c r="M982" i="2"/>
  <c r="L982" i="2"/>
  <c r="K982" i="2"/>
  <c r="M981" i="2"/>
  <c r="L981" i="2"/>
  <c r="K981" i="2"/>
  <c r="M980" i="2"/>
  <c r="L980" i="2"/>
  <c r="K980" i="2"/>
  <c r="M979" i="2"/>
  <c r="L979" i="2"/>
  <c r="K979" i="2"/>
  <c r="M978" i="2"/>
  <c r="L978" i="2"/>
  <c r="K978" i="2"/>
  <c r="M977" i="2"/>
  <c r="L977" i="2"/>
  <c r="K977" i="2"/>
  <c r="M976" i="2"/>
  <c r="L976" i="2"/>
  <c r="K976" i="2"/>
  <c r="M975" i="2"/>
  <c r="L975" i="2"/>
  <c r="K975" i="2"/>
  <c r="M974" i="2"/>
  <c r="L974" i="2"/>
  <c r="K974" i="2"/>
  <c r="M973" i="2"/>
  <c r="L973" i="2"/>
  <c r="K973" i="2"/>
  <c r="M972" i="2"/>
  <c r="L972" i="2"/>
  <c r="K972" i="2"/>
  <c r="M971" i="2"/>
  <c r="L971" i="2"/>
  <c r="K971" i="2"/>
  <c r="M970" i="2"/>
  <c r="L970" i="2"/>
  <c r="K970" i="2"/>
  <c r="M969" i="2"/>
  <c r="L969" i="2"/>
  <c r="K969" i="2"/>
  <c r="M968" i="2"/>
  <c r="L968" i="2"/>
  <c r="K968" i="2"/>
  <c r="M967" i="2"/>
  <c r="L967" i="2"/>
  <c r="K967" i="2"/>
  <c r="M966" i="2"/>
  <c r="L966" i="2"/>
  <c r="K966" i="2"/>
  <c r="M965" i="2"/>
  <c r="L965" i="2"/>
  <c r="K965" i="2"/>
  <c r="M964" i="2"/>
  <c r="L964" i="2"/>
  <c r="K964" i="2"/>
  <c r="M963" i="2"/>
  <c r="L963" i="2"/>
  <c r="K963" i="2"/>
  <c r="M962" i="2"/>
  <c r="L962" i="2"/>
  <c r="K962" i="2"/>
  <c r="M961" i="2"/>
  <c r="L961" i="2"/>
  <c r="K961" i="2"/>
  <c r="M960" i="2"/>
  <c r="L960" i="2"/>
  <c r="K960" i="2"/>
  <c r="M959" i="2"/>
  <c r="L959" i="2"/>
  <c r="K959" i="2"/>
  <c r="M958" i="2"/>
  <c r="L958" i="2"/>
  <c r="K958" i="2"/>
  <c r="M957" i="2"/>
  <c r="L957" i="2"/>
  <c r="K957" i="2"/>
  <c r="M956" i="2"/>
  <c r="L956" i="2"/>
  <c r="K956" i="2"/>
  <c r="M955" i="2"/>
  <c r="L955" i="2"/>
  <c r="K955" i="2"/>
  <c r="M954" i="2"/>
  <c r="L954" i="2"/>
  <c r="K954" i="2"/>
  <c r="M953" i="2"/>
  <c r="L953" i="2"/>
  <c r="K953" i="2"/>
  <c r="M952" i="2"/>
  <c r="L952" i="2"/>
  <c r="K952" i="2"/>
  <c r="M951" i="2"/>
  <c r="L951" i="2"/>
  <c r="K951" i="2"/>
  <c r="M950" i="2"/>
  <c r="L950" i="2"/>
  <c r="K950" i="2"/>
  <c r="M949" i="2"/>
  <c r="L949" i="2"/>
  <c r="K949" i="2"/>
  <c r="M948" i="2"/>
  <c r="L948" i="2"/>
  <c r="K948" i="2"/>
  <c r="M947" i="2"/>
  <c r="L947" i="2"/>
  <c r="K947" i="2"/>
  <c r="M946" i="2"/>
  <c r="L946" i="2"/>
  <c r="K946" i="2"/>
  <c r="M945" i="2"/>
  <c r="L945" i="2"/>
  <c r="K945" i="2"/>
  <c r="M944" i="2"/>
  <c r="L944" i="2"/>
  <c r="K944" i="2"/>
  <c r="M943" i="2"/>
  <c r="L943" i="2"/>
  <c r="K943" i="2"/>
  <c r="M942" i="2"/>
  <c r="L942" i="2"/>
  <c r="K942" i="2"/>
  <c r="M941" i="2"/>
  <c r="L941" i="2"/>
  <c r="K941" i="2"/>
  <c r="M940" i="2"/>
  <c r="L940" i="2"/>
  <c r="K940" i="2"/>
  <c r="M939" i="2"/>
  <c r="L939" i="2"/>
  <c r="K939" i="2"/>
  <c r="M938" i="2"/>
  <c r="L938" i="2"/>
  <c r="K938" i="2"/>
  <c r="M937" i="2"/>
  <c r="L937" i="2"/>
  <c r="K937" i="2"/>
  <c r="M936" i="2"/>
  <c r="L936" i="2"/>
  <c r="K936" i="2"/>
  <c r="M935" i="2"/>
  <c r="L935" i="2"/>
  <c r="K935" i="2"/>
  <c r="M934" i="2"/>
  <c r="L934" i="2"/>
  <c r="K934" i="2"/>
  <c r="M933" i="2"/>
  <c r="L933" i="2"/>
  <c r="K933" i="2"/>
  <c r="M932" i="2"/>
  <c r="L932" i="2"/>
  <c r="K932" i="2"/>
  <c r="M931" i="2"/>
  <c r="L931" i="2"/>
  <c r="K931" i="2"/>
  <c r="M930" i="2"/>
  <c r="L930" i="2"/>
  <c r="K930" i="2"/>
  <c r="M929" i="2"/>
  <c r="L929" i="2"/>
  <c r="K929" i="2"/>
  <c r="M928" i="2"/>
  <c r="L928" i="2"/>
  <c r="K928" i="2"/>
  <c r="M927" i="2"/>
  <c r="L927" i="2"/>
  <c r="K927" i="2"/>
  <c r="M926" i="2"/>
  <c r="L926" i="2"/>
  <c r="K926" i="2"/>
  <c r="M925" i="2"/>
  <c r="L925" i="2"/>
  <c r="K925" i="2"/>
  <c r="M924" i="2"/>
  <c r="L924" i="2"/>
  <c r="K924" i="2"/>
  <c r="M923" i="2"/>
  <c r="L923" i="2"/>
  <c r="K923" i="2"/>
  <c r="M922" i="2"/>
  <c r="L922" i="2"/>
  <c r="K922" i="2"/>
  <c r="M921" i="2"/>
  <c r="L921" i="2"/>
  <c r="K921" i="2"/>
  <c r="M920" i="2"/>
  <c r="L920" i="2"/>
  <c r="K920" i="2"/>
  <c r="M919" i="2"/>
  <c r="L919" i="2"/>
  <c r="K919" i="2"/>
  <c r="M918" i="2"/>
  <c r="L918" i="2"/>
  <c r="K918" i="2"/>
  <c r="M917" i="2"/>
  <c r="L917" i="2"/>
  <c r="K917" i="2"/>
  <c r="M916" i="2"/>
  <c r="L916" i="2"/>
  <c r="K916" i="2"/>
  <c r="M915" i="2"/>
  <c r="L915" i="2"/>
  <c r="K915" i="2"/>
  <c r="M914" i="2"/>
  <c r="L914" i="2"/>
  <c r="K914" i="2"/>
  <c r="M913" i="2"/>
  <c r="L913" i="2"/>
  <c r="K913" i="2"/>
  <c r="M912" i="2"/>
  <c r="L912" i="2"/>
  <c r="K912" i="2"/>
  <c r="M911" i="2"/>
  <c r="L911" i="2"/>
  <c r="K911" i="2"/>
  <c r="M910" i="2"/>
  <c r="L910" i="2"/>
  <c r="K910" i="2"/>
  <c r="M909" i="2"/>
  <c r="L909" i="2"/>
  <c r="K909" i="2"/>
  <c r="M908" i="2"/>
  <c r="L908" i="2"/>
  <c r="K908" i="2"/>
  <c r="M907" i="2"/>
  <c r="L907" i="2"/>
  <c r="K907" i="2"/>
  <c r="M906" i="2"/>
  <c r="L906" i="2"/>
  <c r="K906" i="2"/>
  <c r="M905" i="2"/>
  <c r="L905" i="2"/>
  <c r="K905" i="2"/>
  <c r="M904" i="2"/>
  <c r="L904" i="2"/>
  <c r="K904" i="2"/>
  <c r="M903" i="2"/>
  <c r="L903" i="2"/>
  <c r="K903" i="2"/>
  <c r="M902" i="2"/>
  <c r="L902" i="2"/>
  <c r="K902" i="2"/>
  <c r="M901" i="2"/>
  <c r="L901" i="2"/>
  <c r="K901" i="2"/>
  <c r="M900" i="2"/>
  <c r="L900" i="2"/>
  <c r="K900" i="2"/>
  <c r="M899" i="2"/>
  <c r="L899" i="2"/>
  <c r="K899" i="2"/>
  <c r="M898" i="2"/>
  <c r="L898" i="2"/>
  <c r="K898" i="2"/>
  <c r="M897" i="2"/>
  <c r="L897" i="2"/>
  <c r="K897" i="2"/>
  <c r="M896" i="2"/>
  <c r="L896" i="2"/>
  <c r="K896" i="2"/>
  <c r="M895" i="2"/>
  <c r="L895" i="2"/>
  <c r="K895" i="2"/>
  <c r="M894" i="2"/>
  <c r="L894" i="2"/>
  <c r="K894" i="2"/>
  <c r="M893" i="2"/>
  <c r="L893" i="2"/>
  <c r="K893" i="2"/>
  <c r="M892" i="2"/>
  <c r="L892" i="2"/>
  <c r="K892" i="2"/>
  <c r="M891" i="2"/>
  <c r="L891" i="2"/>
  <c r="K891" i="2"/>
  <c r="M890" i="2"/>
  <c r="L890" i="2"/>
  <c r="K890" i="2"/>
  <c r="M889" i="2"/>
  <c r="L889" i="2"/>
  <c r="K889" i="2"/>
  <c r="M888" i="2"/>
  <c r="L888" i="2"/>
  <c r="K888" i="2"/>
  <c r="M887" i="2"/>
  <c r="L887" i="2"/>
  <c r="K887" i="2"/>
  <c r="M886" i="2"/>
  <c r="L886" i="2"/>
  <c r="K886" i="2"/>
  <c r="M885" i="2"/>
  <c r="L885" i="2"/>
  <c r="K885" i="2"/>
  <c r="M884" i="2"/>
  <c r="L884" i="2"/>
  <c r="K884" i="2"/>
  <c r="M883" i="2"/>
  <c r="L883" i="2"/>
  <c r="K883" i="2"/>
  <c r="M882" i="2"/>
  <c r="L882" i="2"/>
  <c r="K882" i="2"/>
  <c r="M881" i="2"/>
  <c r="L881" i="2"/>
  <c r="K881" i="2"/>
  <c r="M880" i="2"/>
  <c r="L880" i="2"/>
  <c r="K880" i="2"/>
  <c r="M879" i="2"/>
  <c r="L879" i="2"/>
  <c r="K879" i="2"/>
  <c r="M878" i="2"/>
  <c r="L878" i="2"/>
  <c r="K878" i="2"/>
  <c r="M877" i="2"/>
  <c r="L877" i="2"/>
  <c r="K877" i="2"/>
  <c r="M876" i="2"/>
  <c r="L876" i="2"/>
  <c r="K876" i="2"/>
  <c r="M875" i="2"/>
  <c r="L875" i="2"/>
  <c r="K875" i="2"/>
  <c r="M874" i="2"/>
  <c r="L874" i="2"/>
  <c r="K874" i="2"/>
  <c r="M873" i="2"/>
  <c r="L873" i="2"/>
  <c r="M872" i="2"/>
  <c r="L872" i="2"/>
  <c r="M871" i="2"/>
  <c r="L871" i="2"/>
  <c r="K871" i="2"/>
  <c r="M870" i="2"/>
  <c r="L870" i="2"/>
  <c r="K870" i="2"/>
  <c r="M869" i="2"/>
  <c r="L869" i="2"/>
  <c r="K869" i="2"/>
  <c r="M868" i="2"/>
  <c r="L868" i="2"/>
  <c r="M867" i="2"/>
  <c r="L867" i="2"/>
  <c r="K867" i="2"/>
  <c r="M866" i="2"/>
  <c r="L866" i="2"/>
  <c r="K866" i="2"/>
  <c r="M865" i="2"/>
  <c r="L865" i="2"/>
  <c r="M864" i="2"/>
  <c r="L864" i="2"/>
  <c r="K864" i="2"/>
  <c r="M863" i="2"/>
  <c r="L863" i="2"/>
  <c r="K863" i="2"/>
  <c r="M862" i="2"/>
  <c r="L862" i="2"/>
  <c r="K862" i="2"/>
  <c r="M861" i="2"/>
  <c r="L861" i="2"/>
  <c r="K861" i="2"/>
  <c r="M860" i="2"/>
  <c r="L860" i="2"/>
  <c r="M859" i="2"/>
  <c r="L859" i="2"/>
  <c r="K859" i="2"/>
  <c r="M858" i="2"/>
  <c r="L858" i="2"/>
  <c r="K858" i="2"/>
  <c r="M857" i="2"/>
  <c r="L857" i="2"/>
  <c r="K857" i="2"/>
  <c r="M856" i="2"/>
  <c r="L856" i="2"/>
  <c r="K856" i="2"/>
  <c r="M855" i="2"/>
  <c r="L855" i="2"/>
  <c r="K855" i="2"/>
  <c r="M854" i="2"/>
  <c r="L854" i="2"/>
  <c r="K854" i="2"/>
  <c r="M853" i="2"/>
  <c r="L853" i="2"/>
  <c r="K853" i="2"/>
  <c r="M852" i="2"/>
  <c r="L852" i="2"/>
  <c r="K852" i="2"/>
  <c r="M851" i="2"/>
  <c r="L851" i="2"/>
  <c r="K851" i="2"/>
  <c r="M850" i="2"/>
  <c r="L850" i="2"/>
  <c r="K850" i="2"/>
  <c r="M849" i="2"/>
  <c r="L849" i="2"/>
  <c r="K849" i="2"/>
  <c r="M848" i="2"/>
  <c r="L848" i="2"/>
  <c r="K848" i="2"/>
  <c r="M847" i="2"/>
  <c r="L847" i="2"/>
  <c r="K847" i="2"/>
  <c r="M846" i="2"/>
  <c r="L846" i="2"/>
  <c r="K846" i="2"/>
  <c r="M845" i="2"/>
  <c r="L845" i="2"/>
  <c r="K845" i="2"/>
  <c r="M844" i="2"/>
  <c r="L844" i="2"/>
  <c r="K844" i="2"/>
  <c r="M843" i="2"/>
  <c r="L843" i="2"/>
  <c r="K843" i="2"/>
  <c r="M842" i="2"/>
  <c r="L842" i="2"/>
  <c r="K842" i="2"/>
  <c r="M841" i="2"/>
  <c r="L841" i="2"/>
  <c r="K841" i="2"/>
  <c r="M840" i="2"/>
  <c r="L840" i="2"/>
  <c r="K840" i="2"/>
  <c r="M839" i="2"/>
  <c r="L839" i="2"/>
  <c r="K839" i="2"/>
  <c r="M838" i="2"/>
  <c r="L838" i="2"/>
  <c r="K838" i="2"/>
  <c r="M837" i="2"/>
  <c r="L837" i="2"/>
  <c r="K837" i="2"/>
  <c r="M836" i="2"/>
  <c r="L836" i="2"/>
  <c r="K836" i="2"/>
  <c r="M835" i="2"/>
  <c r="L835" i="2"/>
  <c r="K835" i="2"/>
  <c r="M834" i="2"/>
  <c r="L834" i="2"/>
  <c r="K834" i="2"/>
  <c r="M833" i="2"/>
  <c r="L833" i="2"/>
  <c r="K833" i="2"/>
  <c r="M832" i="2"/>
  <c r="L832" i="2"/>
  <c r="K832" i="2"/>
  <c r="M831" i="2"/>
  <c r="L831" i="2"/>
  <c r="K831" i="2"/>
  <c r="M830" i="2"/>
  <c r="L830" i="2"/>
  <c r="K830" i="2"/>
  <c r="M829" i="2"/>
  <c r="L829" i="2"/>
  <c r="K829" i="2"/>
  <c r="M828" i="2"/>
  <c r="L828" i="2"/>
  <c r="K828" i="2"/>
  <c r="M827" i="2"/>
  <c r="L827" i="2"/>
  <c r="K827" i="2"/>
  <c r="M826" i="2"/>
  <c r="L826" i="2"/>
  <c r="K826" i="2"/>
  <c r="M825" i="2"/>
  <c r="L825" i="2"/>
  <c r="K825" i="2"/>
  <c r="M824" i="2"/>
  <c r="L824" i="2"/>
  <c r="K824" i="2"/>
  <c r="M823" i="2"/>
  <c r="L823" i="2"/>
  <c r="K823" i="2"/>
  <c r="M822" i="2"/>
  <c r="L822" i="2"/>
  <c r="K822" i="2"/>
  <c r="M821" i="2"/>
  <c r="L821" i="2"/>
  <c r="K821" i="2"/>
  <c r="M820" i="2"/>
  <c r="L820" i="2"/>
  <c r="K820" i="2"/>
  <c r="M819" i="2"/>
  <c r="L819" i="2"/>
  <c r="K819" i="2"/>
  <c r="M818" i="2"/>
  <c r="L818" i="2"/>
  <c r="K818" i="2"/>
  <c r="M817" i="2"/>
  <c r="L817" i="2"/>
  <c r="K817" i="2"/>
  <c r="M816" i="2"/>
  <c r="L816" i="2"/>
  <c r="K816" i="2"/>
  <c r="M815" i="2"/>
  <c r="L815" i="2"/>
  <c r="K815" i="2"/>
  <c r="M814" i="2"/>
  <c r="L814" i="2"/>
  <c r="K814" i="2"/>
  <c r="M813" i="2"/>
  <c r="L813" i="2"/>
  <c r="K813" i="2"/>
  <c r="M812" i="2"/>
  <c r="L812" i="2"/>
  <c r="K812" i="2"/>
  <c r="M811" i="2"/>
  <c r="L811" i="2"/>
  <c r="K811" i="2"/>
  <c r="M810" i="2"/>
  <c r="L810" i="2"/>
  <c r="K810" i="2"/>
  <c r="M809" i="2"/>
  <c r="L809" i="2"/>
  <c r="K809" i="2"/>
  <c r="M808" i="2"/>
  <c r="L808" i="2"/>
  <c r="K808" i="2"/>
  <c r="M807" i="2"/>
  <c r="L807" i="2"/>
  <c r="K807" i="2"/>
  <c r="M806" i="2"/>
  <c r="L806" i="2"/>
  <c r="K806" i="2"/>
  <c r="M805" i="2"/>
  <c r="L805" i="2"/>
  <c r="K805" i="2"/>
  <c r="M804" i="2"/>
  <c r="L804" i="2"/>
  <c r="K804" i="2"/>
  <c r="M803" i="2"/>
  <c r="L803" i="2"/>
  <c r="K803" i="2"/>
  <c r="M802" i="2"/>
  <c r="L802" i="2"/>
  <c r="K802" i="2"/>
  <c r="M801" i="2"/>
  <c r="L801" i="2"/>
  <c r="K801" i="2"/>
  <c r="M800" i="2"/>
  <c r="L800" i="2"/>
  <c r="K800" i="2"/>
  <c r="M799" i="2"/>
  <c r="L799" i="2"/>
  <c r="K799" i="2"/>
  <c r="M798" i="2"/>
  <c r="L798" i="2"/>
  <c r="K798" i="2"/>
  <c r="M797" i="2"/>
  <c r="L797" i="2"/>
  <c r="K797" i="2"/>
  <c r="M796" i="2"/>
  <c r="L796" i="2"/>
  <c r="K796" i="2"/>
  <c r="M795" i="2"/>
  <c r="L795" i="2"/>
  <c r="K795" i="2"/>
  <c r="M794" i="2"/>
  <c r="L794" i="2"/>
  <c r="K794" i="2"/>
  <c r="M793" i="2"/>
  <c r="L793" i="2"/>
  <c r="K793" i="2"/>
  <c r="M792" i="2"/>
  <c r="L792" i="2"/>
  <c r="K792" i="2"/>
  <c r="M791" i="2"/>
  <c r="L791" i="2"/>
  <c r="K791" i="2"/>
  <c r="M790" i="2"/>
  <c r="L790" i="2"/>
  <c r="K790" i="2"/>
  <c r="M789" i="2"/>
  <c r="L789" i="2"/>
  <c r="K789" i="2"/>
  <c r="M788" i="2"/>
  <c r="L788" i="2"/>
  <c r="K788" i="2"/>
  <c r="M787" i="2"/>
  <c r="L787" i="2"/>
  <c r="K787" i="2"/>
  <c r="M786" i="2"/>
  <c r="L786" i="2"/>
  <c r="K786" i="2"/>
  <c r="M785" i="2"/>
  <c r="L785" i="2"/>
  <c r="K785" i="2"/>
  <c r="M784" i="2"/>
  <c r="L784" i="2"/>
  <c r="K784" i="2"/>
  <c r="M783" i="2"/>
  <c r="L783" i="2"/>
  <c r="K783" i="2"/>
  <c r="M782" i="2"/>
  <c r="L782" i="2"/>
  <c r="K782" i="2"/>
  <c r="M781" i="2"/>
  <c r="L781" i="2"/>
  <c r="K781" i="2"/>
  <c r="M780" i="2"/>
  <c r="L780" i="2"/>
  <c r="K780" i="2"/>
  <c r="M779" i="2"/>
  <c r="L779" i="2"/>
  <c r="K779" i="2"/>
  <c r="M778" i="2"/>
  <c r="L778" i="2"/>
  <c r="K778" i="2"/>
  <c r="M777" i="2"/>
  <c r="L777" i="2"/>
  <c r="K777" i="2"/>
  <c r="M776" i="2"/>
  <c r="L776" i="2"/>
  <c r="K776" i="2"/>
  <c r="M775" i="2"/>
  <c r="L775" i="2"/>
  <c r="K775" i="2"/>
  <c r="M774" i="2"/>
  <c r="L774" i="2"/>
  <c r="K774" i="2"/>
  <c r="M773" i="2"/>
  <c r="L773" i="2"/>
  <c r="K773" i="2"/>
  <c r="M772" i="2"/>
  <c r="L772" i="2"/>
  <c r="K772" i="2"/>
  <c r="M771" i="2"/>
  <c r="L771" i="2"/>
  <c r="K771" i="2"/>
  <c r="M770" i="2"/>
  <c r="L770" i="2"/>
  <c r="K770" i="2"/>
  <c r="M769" i="2"/>
  <c r="L769" i="2"/>
  <c r="K769" i="2"/>
  <c r="M768" i="2"/>
  <c r="L768" i="2"/>
  <c r="K768" i="2"/>
  <c r="M767" i="2"/>
  <c r="L767" i="2"/>
  <c r="K767" i="2"/>
  <c r="M766" i="2"/>
  <c r="L766" i="2"/>
  <c r="K766" i="2"/>
  <c r="M765" i="2"/>
  <c r="L765" i="2"/>
  <c r="K765" i="2"/>
  <c r="M764" i="2"/>
  <c r="L764" i="2"/>
  <c r="K764" i="2"/>
  <c r="M763" i="2"/>
  <c r="L763" i="2"/>
  <c r="K763" i="2"/>
  <c r="M762" i="2"/>
  <c r="L762" i="2"/>
  <c r="K762" i="2"/>
  <c r="M761" i="2"/>
  <c r="L761" i="2"/>
  <c r="K761" i="2"/>
  <c r="M760" i="2"/>
  <c r="L760" i="2"/>
  <c r="K760" i="2"/>
  <c r="M759" i="2"/>
  <c r="L759" i="2"/>
  <c r="K759" i="2"/>
  <c r="M758" i="2"/>
  <c r="L758" i="2"/>
  <c r="K758" i="2"/>
  <c r="M757" i="2"/>
  <c r="L757" i="2"/>
  <c r="K757" i="2"/>
  <c r="M756" i="2"/>
  <c r="L756" i="2"/>
  <c r="K756" i="2"/>
  <c r="M755" i="2"/>
  <c r="L755" i="2"/>
  <c r="K755" i="2"/>
  <c r="M754" i="2"/>
  <c r="L754" i="2"/>
  <c r="K754" i="2"/>
  <c r="M753" i="2"/>
  <c r="L753" i="2"/>
  <c r="K753" i="2"/>
  <c r="M752" i="2"/>
  <c r="L752" i="2"/>
  <c r="K752" i="2"/>
  <c r="M751" i="2"/>
  <c r="L751" i="2"/>
  <c r="K751" i="2"/>
  <c r="M750" i="2"/>
  <c r="L750" i="2"/>
  <c r="K750" i="2"/>
  <c r="M749" i="2"/>
  <c r="L749" i="2"/>
  <c r="K749" i="2"/>
  <c r="M748" i="2"/>
  <c r="L748" i="2"/>
  <c r="K748" i="2"/>
  <c r="M747" i="2"/>
  <c r="L747" i="2"/>
  <c r="K747" i="2"/>
  <c r="M746" i="2"/>
  <c r="L746" i="2"/>
  <c r="K746" i="2"/>
  <c r="M745" i="2"/>
  <c r="L745" i="2"/>
  <c r="K745" i="2"/>
  <c r="M744" i="2"/>
  <c r="L744" i="2"/>
  <c r="K744" i="2"/>
  <c r="M743" i="2"/>
  <c r="L743" i="2"/>
  <c r="K743" i="2"/>
  <c r="M742" i="2"/>
  <c r="L742" i="2"/>
  <c r="K742" i="2"/>
  <c r="M741" i="2"/>
  <c r="L741" i="2"/>
  <c r="K741" i="2"/>
  <c r="M740" i="2"/>
  <c r="L740" i="2"/>
  <c r="K740" i="2"/>
  <c r="M739" i="2"/>
  <c r="L739" i="2"/>
  <c r="K739" i="2"/>
  <c r="M738" i="2"/>
  <c r="L738" i="2"/>
  <c r="K738" i="2"/>
  <c r="M737" i="2"/>
  <c r="L737" i="2"/>
  <c r="K737" i="2"/>
  <c r="M736" i="2"/>
  <c r="L736" i="2"/>
  <c r="K736" i="2"/>
  <c r="M735" i="2"/>
  <c r="L735" i="2"/>
  <c r="K735" i="2"/>
  <c r="M734" i="2"/>
  <c r="L734" i="2"/>
  <c r="K734" i="2"/>
  <c r="M733" i="2"/>
  <c r="L733" i="2"/>
  <c r="K733" i="2"/>
  <c r="M732" i="2"/>
  <c r="L732" i="2"/>
  <c r="K732" i="2"/>
  <c r="M731" i="2"/>
  <c r="L731" i="2"/>
  <c r="K731" i="2"/>
  <c r="M730" i="2"/>
  <c r="L730" i="2"/>
  <c r="K730" i="2"/>
  <c r="M729" i="2"/>
  <c r="L729" i="2"/>
  <c r="K729" i="2"/>
  <c r="M728" i="2"/>
  <c r="L728" i="2"/>
  <c r="K728" i="2"/>
  <c r="M727" i="2"/>
  <c r="L727" i="2"/>
  <c r="K727" i="2"/>
  <c r="M726" i="2"/>
  <c r="L726" i="2"/>
  <c r="K726" i="2"/>
  <c r="M725" i="2"/>
  <c r="L725" i="2"/>
  <c r="K725" i="2"/>
  <c r="M724" i="2"/>
  <c r="L724" i="2"/>
  <c r="K724" i="2"/>
  <c r="M723" i="2"/>
  <c r="L723" i="2"/>
  <c r="K723" i="2"/>
  <c r="M722" i="2"/>
  <c r="L722" i="2"/>
  <c r="K722" i="2"/>
  <c r="M721" i="2"/>
  <c r="L721" i="2"/>
  <c r="K721" i="2"/>
  <c r="M720" i="2"/>
  <c r="L720" i="2"/>
  <c r="K720" i="2"/>
  <c r="M719" i="2"/>
  <c r="L719" i="2"/>
  <c r="K719" i="2"/>
  <c r="M718" i="2"/>
  <c r="L718" i="2"/>
  <c r="K718" i="2"/>
  <c r="M717" i="2"/>
  <c r="L717" i="2"/>
  <c r="K717" i="2"/>
  <c r="M716" i="2"/>
  <c r="L716" i="2"/>
  <c r="K716" i="2"/>
  <c r="M715" i="2"/>
  <c r="L715" i="2"/>
  <c r="K715" i="2"/>
  <c r="M714" i="2"/>
  <c r="L714" i="2"/>
  <c r="K714" i="2"/>
  <c r="M713" i="2"/>
  <c r="L713" i="2"/>
  <c r="K713" i="2"/>
  <c r="M712" i="2"/>
  <c r="L712" i="2"/>
  <c r="K712" i="2"/>
  <c r="M711" i="2"/>
  <c r="L711" i="2"/>
  <c r="K711" i="2"/>
  <c r="M710" i="2"/>
  <c r="L710" i="2"/>
  <c r="K710" i="2"/>
  <c r="M709" i="2"/>
  <c r="L709" i="2"/>
  <c r="K709" i="2"/>
  <c r="M708" i="2"/>
  <c r="L708" i="2"/>
  <c r="K708" i="2"/>
  <c r="M707" i="2"/>
  <c r="L707" i="2"/>
  <c r="K707" i="2"/>
  <c r="M706" i="2"/>
  <c r="L706" i="2"/>
  <c r="K706" i="2"/>
  <c r="M705" i="2"/>
  <c r="L705" i="2"/>
  <c r="K705" i="2"/>
  <c r="M704" i="2"/>
  <c r="L704" i="2"/>
  <c r="K704" i="2"/>
  <c r="M703" i="2"/>
  <c r="L703" i="2"/>
  <c r="K703" i="2"/>
  <c r="M702" i="2"/>
  <c r="L702" i="2"/>
  <c r="K702" i="2"/>
  <c r="M701" i="2"/>
  <c r="L701" i="2"/>
  <c r="K701" i="2"/>
  <c r="M700" i="2"/>
  <c r="L700" i="2"/>
  <c r="K700" i="2"/>
  <c r="M699" i="2"/>
  <c r="L699" i="2"/>
  <c r="K699" i="2"/>
  <c r="M698" i="2"/>
  <c r="L698" i="2"/>
  <c r="K698" i="2"/>
  <c r="M697" i="2"/>
  <c r="L697" i="2"/>
  <c r="K697" i="2"/>
  <c r="M696" i="2"/>
  <c r="L696" i="2"/>
  <c r="K696" i="2"/>
  <c r="M695" i="2"/>
  <c r="L695" i="2"/>
  <c r="K695" i="2"/>
  <c r="M694" i="2"/>
  <c r="L694" i="2"/>
  <c r="K694" i="2"/>
  <c r="M693" i="2"/>
  <c r="L693" i="2"/>
  <c r="K693" i="2"/>
  <c r="M692" i="2"/>
  <c r="L692" i="2"/>
  <c r="K692" i="2"/>
  <c r="M691" i="2"/>
  <c r="L691" i="2"/>
  <c r="K691" i="2"/>
  <c r="M690" i="2"/>
  <c r="L690" i="2"/>
  <c r="K690" i="2"/>
  <c r="M689" i="2"/>
  <c r="L689" i="2"/>
  <c r="K689" i="2"/>
  <c r="M688" i="2"/>
  <c r="L688" i="2"/>
  <c r="K688" i="2"/>
  <c r="M687" i="2"/>
  <c r="L687" i="2"/>
  <c r="K687" i="2"/>
  <c r="M686" i="2"/>
  <c r="L686" i="2"/>
  <c r="K686" i="2"/>
  <c r="M685" i="2"/>
  <c r="L685" i="2"/>
  <c r="K685" i="2"/>
  <c r="M684" i="2"/>
  <c r="L684" i="2"/>
  <c r="K684" i="2"/>
  <c r="M683" i="2"/>
  <c r="L683" i="2"/>
  <c r="K683" i="2"/>
  <c r="M682" i="2"/>
  <c r="L682" i="2"/>
  <c r="K682" i="2"/>
  <c r="M681" i="2"/>
  <c r="L681" i="2"/>
  <c r="K681" i="2"/>
  <c r="M680" i="2"/>
  <c r="L680" i="2"/>
  <c r="K680" i="2"/>
  <c r="M679" i="2"/>
  <c r="L679" i="2"/>
  <c r="K679" i="2"/>
  <c r="M678" i="2"/>
  <c r="L678" i="2"/>
  <c r="K678" i="2"/>
  <c r="M677" i="2"/>
  <c r="L677" i="2"/>
  <c r="K677" i="2"/>
  <c r="M676" i="2"/>
  <c r="L676" i="2"/>
  <c r="K676" i="2"/>
  <c r="M675" i="2"/>
  <c r="L675" i="2"/>
  <c r="K675" i="2"/>
  <c r="M674" i="2"/>
  <c r="L674" i="2"/>
  <c r="K674" i="2"/>
  <c r="M673" i="2"/>
  <c r="L673" i="2"/>
  <c r="K673" i="2"/>
  <c r="M672" i="2"/>
  <c r="L672" i="2"/>
  <c r="K672" i="2"/>
  <c r="M671" i="2"/>
  <c r="L671" i="2"/>
  <c r="K671" i="2"/>
  <c r="M670" i="2"/>
  <c r="L670" i="2"/>
  <c r="K670" i="2"/>
  <c r="M669" i="2"/>
  <c r="L669" i="2"/>
  <c r="K669" i="2"/>
  <c r="M668" i="2"/>
  <c r="L668" i="2"/>
  <c r="K668" i="2"/>
  <c r="M667" i="2"/>
  <c r="L667" i="2"/>
  <c r="K667" i="2"/>
  <c r="M666" i="2"/>
  <c r="L666" i="2"/>
  <c r="K666" i="2"/>
  <c r="M665" i="2"/>
  <c r="L665" i="2"/>
  <c r="K665" i="2"/>
  <c r="M664" i="2"/>
  <c r="L664" i="2"/>
  <c r="K664" i="2"/>
  <c r="M663" i="2"/>
  <c r="L663" i="2"/>
  <c r="K663" i="2"/>
  <c r="M662" i="2"/>
  <c r="L662" i="2"/>
  <c r="K662" i="2"/>
  <c r="M661" i="2"/>
  <c r="L661" i="2"/>
  <c r="K661" i="2"/>
  <c r="M660" i="2"/>
  <c r="L660" i="2"/>
  <c r="K660" i="2"/>
  <c r="M659" i="2"/>
  <c r="L659" i="2"/>
  <c r="K659" i="2"/>
  <c r="M658" i="2"/>
  <c r="L658" i="2"/>
  <c r="K658" i="2"/>
  <c r="M657" i="2"/>
  <c r="L657" i="2"/>
  <c r="K657" i="2"/>
  <c r="M656" i="2"/>
  <c r="L656" i="2"/>
  <c r="K656" i="2"/>
  <c r="M655" i="2"/>
  <c r="L655" i="2"/>
  <c r="K655" i="2"/>
  <c r="M654" i="2"/>
  <c r="L654" i="2"/>
  <c r="K654" i="2"/>
  <c r="M653" i="2"/>
  <c r="L653" i="2"/>
  <c r="K653" i="2"/>
  <c r="M652" i="2"/>
  <c r="L652" i="2"/>
  <c r="K652" i="2"/>
  <c r="M651" i="2"/>
  <c r="L651" i="2"/>
  <c r="K651" i="2"/>
  <c r="M650" i="2"/>
  <c r="L650" i="2"/>
  <c r="K650" i="2"/>
  <c r="M649" i="2"/>
  <c r="L649" i="2"/>
  <c r="K649" i="2"/>
  <c r="M648" i="2"/>
  <c r="L648" i="2"/>
  <c r="K648" i="2"/>
  <c r="M647" i="2"/>
  <c r="L647" i="2"/>
  <c r="K647" i="2"/>
  <c r="M646" i="2"/>
  <c r="L646" i="2"/>
  <c r="K646" i="2"/>
  <c r="M645" i="2"/>
  <c r="L645" i="2"/>
  <c r="K645" i="2"/>
  <c r="M644" i="2"/>
  <c r="L644" i="2"/>
  <c r="K644" i="2"/>
  <c r="M643" i="2"/>
  <c r="L643" i="2"/>
  <c r="K643" i="2"/>
  <c r="M642" i="2"/>
  <c r="L642" i="2"/>
  <c r="K642" i="2"/>
  <c r="M641" i="2"/>
  <c r="L641" i="2"/>
  <c r="K641" i="2"/>
  <c r="M640" i="2"/>
  <c r="L640" i="2"/>
  <c r="K640" i="2"/>
  <c r="M639" i="2"/>
  <c r="L639" i="2"/>
  <c r="K639" i="2"/>
  <c r="M638" i="2"/>
  <c r="L638" i="2"/>
  <c r="K638" i="2"/>
  <c r="M637" i="2"/>
  <c r="L637" i="2"/>
  <c r="K637" i="2"/>
  <c r="M636" i="2"/>
  <c r="L636" i="2"/>
  <c r="K636" i="2"/>
  <c r="M635" i="2"/>
  <c r="L635" i="2"/>
  <c r="K635" i="2"/>
  <c r="M634" i="2"/>
  <c r="L634" i="2"/>
  <c r="K634" i="2"/>
  <c r="M633" i="2"/>
  <c r="L633" i="2"/>
  <c r="K633" i="2"/>
  <c r="M632" i="2"/>
  <c r="L632" i="2"/>
  <c r="K632" i="2"/>
  <c r="M631" i="2"/>
  <c r="L631" i="2"/>
  <c r="K631" i="2"/>
  <c r="M630" i="2"/>
  <c r="L630" i="2"/>
  <c r="K630" i="2"/>
  <c r="M629" i="2"/>
  <c r="L629" i="2"/>
  <c r="K629" i="2"/>
  <c r="M628" i="2"/>
  <c r="L628" i="2"/>
  <c r="K628" i="2"/>
  <c r="M627" i="2"/>
  <c r="L627" i="2"/>
  <c r="K627" i="2"/>
  <c r="M626" i="2"/>
  <c r="L626" i="2"/>
  <c r="K626" i="2"/>
  <c r="M625" i="2"/>
  <c r="L625" i="2"/>
  <c r="K625" i="2"/>
  <c r="M624" i="2"/>
  <c r="L624" i="2"/>
  <c r="K624" i="2"/>
  <c r="M623" i="2"/>
  <c r="L623" i="2"/>
  <c r="K623" i="2"/>
  <c r="M622" i="2"/>
  <c r="L622" i="2"/>
  <c r="K622" i="2"/>
  <c r="M621" i="2"/>
  <c r="L621" i="2"/>
  <c r="K621" i="2"/>
  <c r="M620" i="2"/>
  <c r="L620" i="2"/>
  <c r="K620" i="2"/>
  <c r="M619" i="2"/>
  <c r="L619" i="2"/>
  <c r="K619" i="2"/>
  <c r="M618" i="2"/>
  <c r="L618" i="2"/>
  <c r="K618" i="2"/>
  <c r="M617" i="2"/>
  <c r="L617" i="2"/>
  <c r="K617" i="2"/>
  <c r="M616" i="2"/>
  <c r="L616" i="2"/>
  <c r="K616" i="2"/>
  <c r="M615" i="2"/>
  <c r="L615" i="2"/>
  <c r="K615" i="2"/>
  <c r="M614" i="2"/>
  <c r="L614" i="2"/>
  <c r="K614" i="2"/>
  <c r="M613" i="2"/>
  <c r="L613" i="2"/>
  <c r="K613" i="2"/>
  <c r="M612" i="2"/>
  <c r="L612" i="2"/>
  <c r="K612" i="2"/>
  <c r="M611" i="2"/>
  <c r="L611" i="2"/>
  <c r="K611" i="2"/>
  <c r="M610" i="2"/>
  <c r="L610" i="2"/>
  <c r="K610" i="2"/>
  <c r="M609" i="2"/>
  <c r="L609" i="2"/>
  <c r="K609" i="2"/>
  <c r="M608" i="2"/>
  <c r="L608" i="2"/>
  <c r="K608" i="2"/>
  <c r="M607" i="2"/>
  <c r="L607" i="2"/>
  <c r="K607" i="2"/>
  <c r="M606" i="2"/>
  <c r="L606" i="2"/>
  <c r="K606" i="2"/>
  <c r="M605" i="2"/>
  <c r="L605" i="2"/>
  <c r="K605" i="2"/>
  <c r="M604" i="2"/>
  <c r="L604" i="2"/>
  <c r="K604" i="2"/>
  <c r="M603" i="2"/>
  <c r="L603" i="2"/>
  <c r="K603" i="2"/>
  <c r="M602" i="2"/>
  <c r="L602" i="2"/>
  <c r="K602" i="2"/>
  <c r="M601" i="2"/>
  <c r="L601" i="2"/>
  <c r="K601" i="2"/>
  <c r="M600" i="2"/>
  <c r="L600" i="2"/>
  <c r="K600" i="2"/>
  <c r="M599" i="2"/>
  <c r="L599" i="2"/>
  <c r="K599" i="2"/>
  <c r="M598" i="2"/>
  <c r="L598" i="2"/>
  <c r="K598" i="2"/>
  <c r="M597" i="2"/>
  <c r="L597" i="2"/>
  <c r="K597" i="2"/>
  <c r="M596" i="2"/>
  <c r="L596" i="2"/>
  <c r="K596" i="2"/>
  <c r="M595" i="2"/>
  <c r="L595" i="2"/>
  <c r="K595" i="2"/>
  <c r="M594" i="2"/>
  <c r="L594" i="2"/>
  <c r="K594" i="2"/>
  <c r="M593" i="2"/>
  <c r="L593" i="2"/>
  <c r="K593" i="2"/>
  <c r="M592" i="2"/>
  <c r="L592" i="2"/>
  <c r="K592" i="2"/>
  <c r="M591" i="2"/>
  <c r="L591" i="2"/>
  <c r="K591" i="2"/>
  <c r="M590" i="2"/>
  <c r="L590" i="2"/>
  <c r="K590" i="2"/>
  <c r="M589" i="2"/>
  <c r="L589" i="2"/>
  <c r="K589" i="2"/>
  <c r="M588" i="2"/>
  <c r="L588" i="2"/>
  <c r="K588" i="2"/>
  <c r="M587" i="2"/>
  <c r="L587" i="2"/>
  <c r="K587" i="2"/>
  <c r="M586" i="2"/>
  <c r="L586" i="2"/>
  <c r="K586" i="2"/>
  <c r="M585" i="2"/>
  <c r="L585" i="2"/>
  <c r="K585" i="2"/>
  <c r="M584" i="2"/>
  <c r="L584" i="2"/>
  <c r="K584" i="2"/>
  <c r="M583" i="2"/>
  <c r="L583" i="2"/>
  <c r="K583" i="2"/>
  <c r="M582" i="2"/>
  <c r="L582" i="2"/>
  <c r="K582" i="2"/>
  <c r="M581" i="2"/>
  <c r="L581" i="2"/>
  <c r="K581" i="2"/>
  <c r="M580" i="2"/>
  <c r="L580" i="2"/>
  <c r="K580" i="2"/>
  <c r="M579" i="2"/>
  <c r="L579" i="2"/>
  <c r="K579" i="2"/>
  <c r="M578" i="2"/>
  <c r="L578" i="2"/>
  <c r="K578" i="2"/>
  <c r="M577" i="2"/>
  <c r="L577" i="2"/>
  <c r="K577" i="2"/>
  <c r="M576" i="2"/>
  <c r="L576" i="2"/>
  <c r="K576" i="2"/>
  <c r="M575" i="2"/>
  <c r="L575" i="2"/>
  <c r="K575" i="2"/>
  <c r="M574" i="2"/>
  <c r="L574" i="2"/>
  <c r="K574" i="2"/>
  <c r="M573" i="2"/>
  <c r="L573" i="2"/>
  <c r="K573" i="2"/>
  <c r="M572" i="2"/>
  <c r="L572" i="2"/>
  <c r="K572" i="2"/>
  <c r="M571" i="2"/>
  <c r="L571" i="2"/>
  <c r="K571" i="2"/>
  <c r="M570" i="2"/>
  <c r="L570" i="2"/>
  <c r="K570" i="2"/>
  <c r="M569" i="2"/>
  <c r="L569" i="2"/>
  <c r="K569" i="2"/>
  <c r="M568" i="2"/>
  <c r="L568" i="2"/>
  <c r="K568" i="2"/>
  <c r="M567" i="2"/>
  <c r="L567" i="2"/>
  <c r="K567" i="2"/>
  <c r="M566" i="2"/>
  <c r="L566" i="2"/>
  <c r="K566" i="2"/>
  <c r="M565" i="2"/>
  <c r="L565" i="2"/>
  <c r="K565" i="2"/>
  <c r="M564" i="2"/>
  <c r="L564" i="2"/>
  <c r="K564" i="2"/>
  <c r="M563" i="2"/>
  <c r="L563" i="2"/>
  <c r="K563" i="2"/>
  <c r="M562" i="2"/>
  <c r="L562" i="2"/>
  <c r="K562" i="2"/>
  <c r="M561" i="2"/>
  <c r="L561" i="2"/>
  <c r="K561" i="2"/>
  <c r="M560" i="2"/>
  <c r="L560" i="2"/>
  <c r="K560" i="2"/>
  <c r="M559" i="2"/>
  <c r="L559" i="2"/>
  <c r="K559" i="2"/>
  <c r="M558" i="2"/>
  <c r="L558" i="2"/>
  <c r="K558" i="2"/>
  <c r="M557" i="2"/>
  <c r="L557" i="2"/>
  <c r="K557" i="2"/>
  <c r="M556" i="2"/>
  <c r="L556" i="2"/>
  <c r="K556" i="2"/>
  <c r="M555" i="2"/>
  <c r="L555" i="2"/>
  <c r="K555" i="2"/>
  <c r="M554" i="2"/>
  <c r="L554" i="2"/>
  <c r="K554" i="2"/>
  <c r="M553" i="2"/>
  <c r="L553" i="2"/>
  <c r="K553" i="2"/>
  <c r="M552" i="2"/>
  <c r="L552" i="2"/>
  <c r="K552" i="2"/>
  <c r="M551" i="2"/>
  <c r="L551" i="2"/>
  <c r="K551" i="2"/>
  <c r="M550" i="2"/>
  <c r="L550" i="2"/>
  <c r="K550" i="2"/>
  <c r="M549" i="2"/>
  <c r="L549" i="2"/>
  <c r="K549" i="2"/>
  <c r="M548" i="2"/>
  <c r="L548" i="2"/>
  <c r="K548" i="2"/>
  <c r="M547" i="2"/>
  <c r="L547" i="2"/>
  <c r="K547" i="2"/>
  <c r="M546" i="2"/>
  <c r="L546" i="2"/>
  <c r="K546" i="2"/>
  <c r="M545" i="2"/>
  <c r="L545" i="2"/>
  <c r="K545" i="2"/>
  <c r="M544" i="2"/>
  <c r="L544" i="2"/>
  <c r="K544" i="2"/>
  <c r="M543" i="2"/>
  <c r="L543" i="2"/>
  <c r="K543" i="2"/>
  <c r="M542" i="2"/>
  <c r="L542" i="2"/>
  <c r="K542" i="2"/>
  <c r="M541" i="2"/>
  <c r="L541" i="2"/>
  <c r="K541" i="2"/>
  <c r="M540" i="2"/>
  <c r="L540" i="2"/>
  <c r="K540" i="2"/>
  <c r="M539" i="2"/>
  <c r="L539" i="2"/>
  <c r="K539" i="2"/>
  <c r="M538" i="2"/>
  <c r="L538" i="2"/>
  <c r="K538" i="2"/>
  <c r="M537" i="2"/>
  <c r="L537" i="2"/>
  <c r="K537" i="2"/>
  <c r="M536" i="2"/>
  <c r="L536" i="2"/>
  <c r="K536" i="2"/>
  <c r="M535" i="2"/>
  <c r="L535" i="2"/>
  <c r="K535" i="2"/>
  <c r="M534" i="2"/>
  <c r="L534" i="2"/>
  <c r="K534" i="2"/>
  <c r="M533" i="2"/>
  <c r="L533" i="2"/>
  <c r="K533" i="2"/>
  <c r="M532" i="2"/>
  <c r="L532" i="2"/>
  <c r="K532" i="2"/>
  <c r="M531" i="2"/>
  <c r="L531" i="2"/>
  <c r="K531" i="2"/>
  <c r="M530" i="2"/>
  <c r="L530" i="2"/>
  <c r="K530" i="2"/>
  <c r="M529" i="2"/>
  <c r="L529" i="2"/>
  <c r="K529" i="2"/>
  <c r="M528" i="2"/>
  <c r="L528" i="2"/>
  <c r="K528" i="2"/>
  <c r="M527" i="2"/>
  <c r="L527" i="2"/>
  <c r="K527" i="2"/>
  <c r="M526" i="2"/>
  <c r="L526" i="2"/>
  <c r="K526" i="2"/>
  <c r="M525" i="2"/>
  <c r="L525" i="2"/>
  <c r="K525" i="2"/>
  <c r="M524" i="2"/>
  <c r="L524" i="2"/>
  <c r="K524" i="2"/>
  <c r="M523" i="2"/>
  <c r="L523" i="2"/>
  <c r="K523" i="2"/>
  <c r="M522" i="2"/>
  <c r="L522" i="2"/>
  <c r="K522" i="2"/>
  <c r="M521" i="2"/>
  <c r="L521" i="2"/>
  <c r="K521" i="2"/>
  <c r="M520" i="2"/>
  <c r="L520" i="2"/>
  <c r="M519" i="2"/>
  <c r="L519" i="2"/>
  <c r="K519" i="2"/>
  <c r="M518" i="2"/>
  <c r="L518" i="2"/>
  <c r="K518" i="2"/>
  <c r="M517" i="2"/>
  <c r="L517" i="2"/>
  <c r="K517" i="2"/>
  <c r="M516" i="2"/>
  <c r="L516" i="2"/>
  <c r="K516" i="2"/>
  <c r="M515" i="2"/>
  <c r="L515" i="2"/>
  <c r="K515" i="2"/>
  <c r="M514" i="2"/>
  <c r="L514" i="2"/>
  <c r="K514" i="2"/>
  <c r="M513" i="2"/>
  <c r="L513" i="2"/>
  <c r="K513" i="2"/>
  <c r="M512" i="2"/>
  <c r="L512" i="2"/>
  <c r="K512" i="2"/>
  <c r="M511" i="2"/>
  <c r="L511" i="2"/>
  <c r="K511" i="2"/>
  <c r="M510" i="2"/>
  <c r="L510" i="2"/>
  <c r="K510" i="2"/>
  <c r="M509" i="2"/>
  <c r="L509" i="2"/>
  <c r="K509" i="2"/>
  <c r="M508" i="2"/>
  <c r="L508" i="2"/>
  <c r="K508" i="2"/>
  <c r="M507" i="2"/>
  <c r="L507" i="2"/>
  <c r="K507" i="2"/>
  <c r="M506" i="2"/>
  <c r="L506" i="2"/>
  <c r="K506" i="2"/>
  <c r="M505" i="2"/>
  <c r="L505" i="2"/>
  <c r="K505" i="2"/>
  <c r="M504" i="2"/>
  <c r="L504" i="2"/>
  <c r="K504" i="2"/>
  <c r="M503" i="2"/>
  <c r="L503" i="2"/>
  <c r="K503" i="2"/>
  <c r="M502" i="2"/>
  <c r="L502" i="2"/>
  <c r="K502" i="2"/>
  <c r="M501" i="2"/>
  <c r="L501" i="2"/>
  <c r="K501" i="2"/>
  <c r="M500" i="2"/>
  <c r="L500" i="2"/>
  <c r="K500" i="2"/>
  <c r="M499" i="2"/>
  <c r="L499" i="2"/>
  <c r="K499" i="2"/>
  <c r="M498" i="2"/>
  <c r="L498" i="2"/>
  <c r="K498" i="2"/>
  <c r="M497" i="2"/>
  <c r="L497" i="2"/>
  <c r="K497" i="2"/>
  <c r="M496" i="2"/>
  <c r="L496" i="2"/>
  <c r="K496" i="2"/>
  <c r="M495" i="2"/>
  <c r="L495" i="2"/>
  <c r="K495" i="2"/>
  <c r="M494" i="2"/>
  <c r="L494" i="2"/>
  <c r="K494" i="2"/>
  <c r="M493" i="2"/>
  <c r="L493" i="2"/>
  <c r="K493" i="2"/>
  <c r="M492" i="2"/>
  <c r="L492" i="2"/>
  <c r="K492" i="2"/>
  <c r="M491" i="2"/>
  <c r="L491" i="2"/>
  <c r="K491" i="2"/>
  <c r="M490" i="2"/>
  <c r="L490" i="2"/>
  <c r="K490" i="2"/>
  <c r="M489" i="2"/>
  <c r="L489" i="2"/>
  <c r="K489" i="2"/>
  <c r="M488" i="2"/>
  <c r="L488" i="2"/>
  <c r="K488" i="2"/>
  <c r="M487" i="2"/>
  <c r="L487" i="2"/>
  <c r="K487" i="2"/>
  <c r="M486" i="2"/>
  <c r="L486" i="2"/>
  <c r="K486" i="2"/>
  <c r="M485" i="2"/>
  <c r="L485" i="2"/>
  <c r="K485" i="2"/>
  <c r="M484" i="2"/>
  <c r="L484" i="2"/>
  <c r="K484" i="2"/>
  <c r="M483" i="2"/>
  <c r="L483" i="2"/>
  <c r="K483" i="2"/>
  <c r="M482" i="2"/>
  <c r="L482" i="2"/>
  <c r="K482" i="2"/>
  <c r="M481" i="2"/>
  <c r="L481" i="2"/>
  <c r="K481" i="2"/>
  <c r="M480" i="2"/>
  <c r="L480" i="2"/>
  <c r="K480" i="2"/>
  <c r="M479" i="2"/>
  <c r="L479" i="2"/>
  <c r="K479" i="2"/>
  <c r="M478" i="2"/>
  <c r="L478" i="2"/>
  <c r="K478" i="2"/>
  <c r="M477" i="2"/>
  <c r="L477" i="2"/>
  <c r="K477" i="2"/>
  <c r="M476" i="2"/>
  <c r="L476" i="2"/>
  <c r="K476" i="2"/>
  <c r="M475" i="2"/>
  <c r="L475" i="2"/>
  <c r="K475" i="2"/>
  <c r="M474" i="2"/>
  <c r="L474" i="2"/>
  <c r="K474" i="2"/>
  <c r="M473" i="2"/>
  <c r="L473" i="2"/>
  <c r="K473" i="2"/>
  <c r="M472" i="2"/>
  <c r="L472" i="2"/>
  <c r="K472" i="2"/>
  <c r="M471" i="2"/>
  <c r="L471" i="2"/>
  <c r="K471" i="2"/>
  <c r="M470" i="2"/>
  <c r="L470" i="2"/>
  <c r="K470" i="2"/>
  <c r="M469" i="2"/>
  <c r="L469" i="2"/>
  <c r="K469" i="2"/>
  <c r="M468" i="2"/>
  <c r="L468" i="2"/>
  <c r="K468" i="2"/>
  <c r="M467" i="2"/>
  <c r="L467" i="2"/>
  <c r="K467" i="2"/>
  <c r="M466" i="2"/>
  <c r="L466" i="2"/>
  <c r="K466" i="2"/>
  <c r="M465" i="2"/>
  <c r="L465" i="2"/>
  <c r="K465" i="2"/>
  <c r="M464" i="2"/>
  <c r="L464" i="2"/>
  <c r="K464" i="2"/>
  <c r="M463" i="2"/>
  <c r="L463" i="2"/>
  <c r="K463" i="2"/>
  <c r="M462" i="2"/>
  <c r="L462" i="2"/>
  <c r="K462" i="2"/>
  <c r="M461" i="2"/>
  <c r="L461" i="2"/>
  <c r="K461" i="2"/>
  <c r="M460" i="2"/>
  <c r="L460" i="2"/>
  <c r="K460" i="2"/>
  <c r="M459" i="2"/>
  <c r="L459" i="2"/>
  <c r="K459" i="2"/>
  <c r="M458" i="2"/>
  <c r="L458" i="2"/>
  <c r="K458" i="2"/>
  <c r="M457" i="2"/>
  <c r="L457" i="2"/>
  <c r="K457" i="2"/>
  <c r="M456" i="2"/>
  <c r="L456" i="2"/>
  <c r="K456" i="2"/>
  <c r="M455" i="2"/>
  <c r="L455" i="2"/>
  <c r="K455" i="2"/>
  <c r="M454" i="2"/>
  <c r="L454" i="2"/>
  <c r="K454" i="2"/>
  <c r="M453" i="2"/>
  <c r="L453" i="2"/>
  <c r="K453" i="2"/>
  <c r="M452" i="2"/>
  <c r="L452" i="2"/>
  <c r="K452" i="2"/>
  <c r="M451" i="2"/>
  <c r="L451" i="2"/>
  <c r="K451" i="2"/>
  <c r="M450" i="2"/>
  <c r="L450" i="2"/>
  <c r="K450" i="2"/>
  <c r="M449" i="2"/>
  <c r="L449" i="2"/>
  <c r="K449" i="2"/>
  <c r="M448" i="2"/>
  <c r="L448" i="2"/>
  <c r="K448" i="2"/>
  <c r="M447" i="2"/>
  <c r="L447" i="2"/>
  <c r="K447" i="2"/>
  <c r="M446" i="2"/>
  <c r="L446" i="2"/>
  <c r="K446" i="2"/>
  <c r="M445" i="2"/>
  <c r="L445" i="2"/>
  <c r="K445" i="2"/>
  <c r="M444" i="2"/>
  <c r="L444" i="2"/>
  <c r="K444" i="2"/>
  <c r="M443" i="2"/>
  <c r="L443" i="2"/>
  <c r="K443" i="2"/>
  <c r="M442" i="2"/>
  <c r="L442" i="2"/>
  <c r="K442" i="2"/>
  <c r="M441" i="2"/>
  <c r="L441" i="2"/>
  <c r="K441" i="2"/>
  <c r="M440" i="2"/>
  <c r="L440" i="2"/>
  <c r="K440" i="2"/>
  <c r="M439" i="2"/>
  <c r="L439" i="2"/>
  <c r="M438" i="2"/>
  <c r="L438" i="2"/>
  <c r="M437" i="2"/>
  <c r="L437" i="2"/>
  <c r="M436" i="2"/>
  <c r="L436" i="2"/>
  <c r="K436" i="2"/>
  <c r="M435" i="2"/>
  <c r="L435" i="2"/>
  <c r="M434" i="2"/>
  <c r="L434" i="2"/>
  <c r="K434" i="2"/>
  <c r="M433" i="2"/>
  <c r="L433" i="2"/>
  <c r="K433" i="2"/>
  <c r="M432" i="2"/>
  <c r="L432" i="2"/>
  <c r="K432" i="2"/>
  <c r="M431" i="2"/>
  <c r="L431" i="2"/>
  <c r="K431" i="2"/>
  <c r="M430" i="2"/>
  <c r="L430" i="2"/>
  <c r="K430" i="2"/>
  <c r="M429" i="2"/>
  <c r="L429" i="2"/>
  <c r="K429" i="2"/>
  <c r="M428" i="2"/>
  <c r="L428" i="2"/>
  <c r="K428" i="2"/>
  <c r="M427" i="2"/>
  <c r="L427" i="2"/>
  <c r="K427" i="2"/>
  <c r="M426" i="2"/>
  <c r="L426" i="2"/>
  <c r="K426" i="2"/>
  <c r="M425" i="2"/>
  <c r="L425" i="2"/>
  <c r="K425" i="2"/>
  <c r="M424" i="2"/>
  <c r="L424" i="2"/>
  <c r="K424" i="2"/>
  <c r="M423" i="2"/>
  <c r="L423" i="2"/>
  <c r="K423" i="2"/>
  <c r="M422" i="2"/>
  <c r="L422" i="2"/>
  <c r="K422" i="2"/>
  <c r="M421" i="2"/>
  <c r="L421" i="2"/>
  <c r="K421" i="2"/>
  <c r="M420" i="2"/>
  <c r="L420" i="2"/>
  <c r="K420" i="2"/>
  <c r="M419" i="2"/>
  <c r="L419" i="2"/>
  <c r="K419" i="2"/>
  <c r="M418" i="2"/>
  <c r="L418" i="2"/>
  <c r="K418" i="2"/>
  <c r="M417" i="2"/>
  <c r="L417" i="2"/>
  <c r="K417" i="2"/>
  <c r="M416" i="2"/>
  <c r="L416" i="2"/>
  <c r="K416" i="2"/>
  <c r="M415" i="2"/>
  <c r="L415" i="2"/>
  <c r="K415" i="2"/>
  <c r="M414" i="2"/>
  <c r="L414" i="2"/>
  <c r="K414" i="2"/>
  <c r="M413" i="2"/>
  <c r="L413" i="2"/>
  <c r="K413" i="2"/>
  <c r="M412" i="2"/>
  <c r="L412" i="2"/>
  <c r="K412" i="2"/>
  <c r="M411" i="2"/>
  <c r="L411" i="2"/>
  <c r="K411" i="2"/>
  <c r="M410" i="2"/>
  <c r="L410" i="2"/>
  <c r="K410" i="2"/>
  <c r="M409" i="2"/>
  <c r="L409" i="2"/>
  <c r="K409" i="2"/>
  <c r="M408" i="2"/>
  <c r="L408" i="2"/>
  <c r="K408" i="2"/>
  <c r="M407" i="2"/>
  <c r="L407" i="2"/>
  <c r="K407" i="2"/>
  <c r="M406" i="2"/>
  <c r="L406" i="2"/>
  <c r="K406" i="2"/>
  <c r="M405" i="2"/>
  <c r="L405" i="2"/>
  <c r="K405" i="2"/>
  <c r="M404" i="2"/>
  <c r="L404" i="2"/>
  <c r="K404" i="2"/>
  <c r="M403" i="2"/>
  <c r="L403" i="2"/>
  <c r="K403" i="2"/>
  <c r="M402" i="2"/>
  <c r="L402" i="2"/>
  <c r="K402" i="2"/>
  <c r="M401" i="2"/>
  <c r="L401" i="2"/>
  <c r="K401" i="2"/>
  <c r="M400" i="2"/>
  <c r="L400" i="2"/>
  <c r="K400" i="2"/>
  <c r="M399" i="2"/>
  <c r="L399" i="2"/>
  <c r="K399" i="2"/>
  <c r="M398" i="2"/>
  <c r="L398" i="2"/>
  <c r="K398" i="2"/>
  <c r="M397" i="2"/>
  <c r="L397" i="2"/>
  <c r="K397" i="2"/>
  <c r="M396" i="2"/>
  <c r="L396" i="2"/>
  <c r="K396" i="2"/>
  <c r="M395" i="2"/>
  <c r="L395" i="2"/>
  <c r="K395" i="2"/>
  <c r="M394" i="2"/>
  <c r="L394" i="2"/>
  <c r="K394" i="2"/>
  <c r="M393" i="2"/>
  <c r="L393" i="2"/>
  <c r="K393" i="2"/>
  <c r="M392" i="2"/>
  <c r="L392" i="2"/>
  <c r="K392" i="2"/>
  <c r="M391" i="2"/>
  <c r="L391" i="2"/>
  <c r="K391" i="2"/>
  <c r="M390" i="2"/>
  <c r="L390" i="2"/>
  <c r="K390" i="2"/>
  <c r="M389" i="2"/>
  <c r="L389" i="2"/>
  <c r="K389" i="2"/>
  <c r="M388" i="2"/>
  <c r="L388" i="2"/>
  <c r="K388" i="2"/>
  <c r="M387" i="2"/>
  <c r="L387" i="2"/>
  <c r="K387" i="2"/>
  <c r="M386" i="2"/>
  <c r="L386" i="2"/>
  <c r="K386" i="2"/>
  <c r="M385" i="2"/>
  <c r="L385" i="2"/>
  <c r="K385" i="2"/>
  <c r="M384" i="2"/>
  <c r="L384" i="2"/>
  <c r="K384" i="2"/>
  <c r="M383" i="2"/>
  <c r="L383" i="2"/>
  <c r="K383" i="2"/>
  <c r="M382" i="2"/>
  <c r="L382" i="2"/>
  <c r="K382" i="2"/>
  <c r="M381" i="2"/>
  <c r="L381" i="2"/>
  <c r="K381" i="2"/>
  <c r="M380" i="2"/>
  <c r="L380" i="2"/>
  <c r="K380" i="2"/>
  <c r="M379" i="2"/>
  <c r="L379" i="2"/>
  <c r="K379" i="2"/>
  <c r="M378" i="2"/>
  <c r="L378" i="2"/>
  <c r="K378" i="2"/>
  <c r="M377" i="2"/>
  <c r="L377" i="2"/>
  <c r="K377" i="2"/>
  <c r="M376" i="2"/>
  <c r="L376" i="2"/>
  <c r="K376" i="2"/>
  <c r="M375" i="2"/>
  <c r="L375" i="2"/>
  <c r="K375" i="2"/>
  <c r="M374" i="2"/>
  <c r="L374" i="2"/>
  <c r="K374" i="2"/>
  <c r="M373" i="2"/>
  <c r="L373" i="2"/>
  <c r="K373" i="2"/>
  <c r="M372" i="2"/>
  <c r="L372" i="2"/>
  <c r="K372" i="2"/>
  <c r="M371" i="2"/>
  <c r="L371" i="2"/>
  <c r="K371" i="2"/>
  <c r="M370" i="2"/>
  <c r="L370" i="2"/>
  <c r="K370" i="2"/>
  <c r="M369" i="2"/>
  <c r="L369" i="2"/>
  <c r="K369" i="2"/>
  <c r="M368" i="2"/>
  <c r="L368" i="2"/>
  <c r="K368" i="2"/>
  <c r="M367" i="2"/>
  <c r="L367" i="2"/>
  <c r="K367" i="2"/>
  <c r="M366" i="2"/>
  <c r="L366" i="2"/>
  <c r="K366" i="2"/>
  <c r="M365" i="2"/>
  <c r="L365" i="2"/>
  <c r="K365" i="2"/>
  <c r="M364" i="2"/>
  <c r="L364" i="2"/>
  <c r="K364" i="2"/>
  <c r="M363" i="2"/>
  <c r="L363" i="2"/>
  <c r="K363" i="2"/>
  <c r="M362" i="2"/>
  <c r="L362" i="2"/>
  <c r="K362" i="2"/>
  <c r="M361" i="2"/>
  <c r="L361" i="2"/>
  <c r="K361" i="2"/>
  <c r="M360" i="2"/>
  <c r="L360" i="2"/>
  <c r="K360" i="2"/>
  <c r="M359" i="2"/>
  <c r="L359" i="2"/>
  <c r="K359" i="2"/>
  <c r="M358" i="2"/>
  <c r="L358" i="2"/>
  <c r="K358" i="2"/>
  <c r="M357" i="2"/>
  <c r="L357" i="2"/>
  <c r="K357" i="2"/>
  <c r="M356" i="2"/>
  <c r="L356" i="2"/>
  <c r="K356" i="2"/>
  <c r="M355" i="2"/>
  <c r="L355" i="2"/>
  <c r="K355" i="2"/>
  <c r="M354" i="2"/>
  <c r="L354" i="2"/>
  <c r="K354" i="2"/>
  <c r="M353" i="2"/>
  <c r="L353" i="2"/>
  <c r="K353" i="2"/>
  <c r="M352" i="2"/>
  <c r="L352" i="2"/>
  <c r="K352" i="2"/>
  <c r="M351" i="2"/>
  <c r="L351" i="2"/>
  <c r="M350" i="2"/>
  <c r="L350" i="2"/>
  <c r="K350" i="2"/>
  <c r="M349" i="2"/>
  <c r="L349" i="2"/>
  <c r="K349" i="2"/>
  <c r="M348" i="2"/>
  <c r="L348" i="2"/>
  <c r="K348" i="2"/>
  <c r="M347" i="2"/>
  <c r="L347" i="2"/>
  <c r="K347" i="2"/>
  <c r="M346" i="2"/>
  <c r="L346" i="2"/>
  <c r="K346" i="2"/>
  <c r="M345" i="2"/>
  <c r="L345" i="2"/>
  <c r="K345" i="2"/>
  <c r="M344" i="2"/>
  <c r="L344" i="2"/>
  <c r="K344" i="2"/>
  <c r="M343" i="2"/>
  <c r="L343" i="2"/>
  <c r="K343" i="2"/>
  <c r="M342" i="2"/>
  <c r="L342" i="2"/>
  <c r="K342" i="2"/>
  <c r="M341" i="2"/>
  <c r="L341" i="2"/>
  <c r="K341" i="2"/>
  <c r="M340" i="2"/>
  <c r="L340" i="2"/>
  <c r="K340" i="2"/>
  <c r="M339" i="2"/>
  <c r="L339" i="2"/>
  <c r="K339" i="2"/>
  <c r="M338" i="2"/>
  <c r="L338" i="2"/>
  <c r="K338" i="2"/>
  <c r="M337" i="2"/>
  <c r="L337" i="2"/>
  <c r="K337" i="2"/>
  <c r="M336" i="2"/>
  <c r="L336" i="2"/>
  <c r="K336" i="2"/>
  <c r="M335" i="2"/>
  <c r="L335" i="2"/>
  <c r="K335" i="2"/>
  <c r="M334" i="2"/>
  <c r="L334" i="2"/>
  <c r="K334" i="2"/>
  <c r="M333" i="2"/>
  <c r="L333" i="2"/>
  <c r="K333" i="2"/>
  <c r="M332" i="2"/>
  <c r="L332" i="2"/>
  <c r="K332" i="2"/>
  <c r="M331" i="2"/>
  <c r="L331" i="2"/>
  <c r="K331" i="2"/>
  <c r="M330" i="2"/>
  <c r="L330" i="2"/>
  <c r="K330" i="2"/>
  <c r="M329" i="2"/>
  <c r="L329" i="2"/>
  <c r="K329" i="2"/>
  <c r="M328" i="2"/>
  <c r="L328" i="2"/>
  <c r="K328" i="2"/>
  <c r="M327" i="2"/>
  <c r="L327" i="2"/>
  <c r="K327" i="2"/>
  <c r="M326" i="2"/>
  <c r="L326" i="2"/>
  <c r="K326" i="2"/>
  <c r="M325" i="2"/>
  <c r="L325" i="2"/>
  <c r="K325" i="2"/>
  <c r="M324" i="2"/>
  <c r="L324" i="2"/>
  <c r="K324" i="2"/>
  <c r="M323" i="2"/>
  <c r="L323" i="2"/>
  <c r="K323" i="2"/>
  <c r="M322" i="2"/>
  <c r="L322" i="2"/>
  <c r="K322" i="2"/>
  <c r="M321" i="2"/>
  <c r="L321" i="2"/>
  <c r="K321" i="2"/>
  <c r="M320" i="2"/>
  <c r="L320" i="2"/>
  <c r="K320" i="2"/>
  <c r="M319" i="2"/>
  <c r="L319" i="2"/>
  <c r="K319" i="2"/>
  <c r="M318" i="2"/>
  <c r="L318" i="2"/>
  <c r="K318" i="2"/>
  <c r="M317" i="2"/>
  <c r="L317" i="2"/>
  <c r="K317" i="2"/>
  <c r="M316" i="2"/>
  <c r="L316" i="2"/>
  <c r="K316" i="2"/>
  <c r="M315" i="2"/>
  <c r="L315" i="2"/>
  <c r="K315" i="2"/>
  <c r="M314" i="2"/>
  <c r="L314" i="2"/>
  <c r="K314" i="2"/>
  <c r="M313" i="2"/>
  <c r="L313" i="2"/>
  <c r="K313" i="2"/>
  <c r="M312" i="2"/>
  <c r="L312" i="2"/>
  <c r="K312" i="2"/>
  <c r="M311" i="2"/>
  <c r="L311" i="2"/>
  <c r="K311" i="2"/>
  <c r="M310" i="2"/>
  <c r="L310" i="2"/>
  <c r="K310" i="2"/>
  <c r="M309" i="2"/>
  <c r="L309" i="2"/>
  <c r="K309" i="2"/>
  <c r="M308" i="2"/>
  <c r="L308" i="2"/>
  <c r="K308" i="2"/>
  <c r="M307" i="2"/>
  <c r="L307" i="2"/>
  <c r="K307" i="2"/>
  <c r="M306" i="2"/>
  <c r="L306" i="2"/>
  <c r="K306" i="2"/>
  <c r="M305" i="2"/>
  <c r="L305" i="2"/>
  <c r="K305" i="2"/>
  <c r="M304" i="2"/>
  <c r="L304" i="2"/>
  <c r="K304" i="2"/>
  <c r="M303" i="2"/>
  <c r="L303" i="2"/>
  <c r="K303" i="2"/>
  <c r="M302" i="2"/>
  <c r="L302" i="2"/>
  <c r="K302" i="2"/>
  <c r="M301" i="2"/>
  <c r="L301" i="2"/>
  <c r="K301" i="2"/>
  <c r="M300" i="2"/>
  <c r="L300" i="2"/>
  <c r="K300" i="2"/>
  <c r="M299" i="2"/>
  <c r="L299" i="2"/>
  <c r="K299" i="2"/>
  <c r="M298" i="2"/>
  <c r="L298" i="2"/>
  <c r="K298" i="2"/>
  <c r="M297" i="2"/>
  <c r="L297" i="2"/>
  <c r="K297" i="2"/>
  <c r="M296" i="2"/>
  <c r="L296" i="2"/>
  <c r="K296" i="2"/>
  <c r="M295" i="2"/>
  <c r="L295" i="2"/>
  <c r="K295" i="2"/>
  <c r="M294" i="2"/>
  <c r="L294" i="2"/>
  <c r="K294" i="2"/>
  <c r="M293" i="2"/>
  <c r="L293" i="2"/>
  <c r="K293" i="2"/>
  <c r="M292" i="2"/>
  <c r="L292" i="2"/>
  <c r="K292" i="2"/>
  <c r="M291" i="2"/>
  <c r="L291" i="2"/>
  <c r="K291" i="2"/>
  <c r="M290" i="2"/>
  <c r="L290" i="2"/>
  <c r="K290" i="2"/>
  <c r="M289" i="2"/>
  <c r="L289" i="2"/>
  <c r="K289" i="2"/>
  <c r="M288" i="2"/>
  <c r="L288" i="2"/>
  <c r="K288" i="2"/>
  <c r="M287" i="2"/>
  <c r="L287" i="2"/>
  <c r="K287" i="2"/>
  <c r="M286" i="2"/>
  <c r="L286" i="2"/>
  <c r="K286" i="2"/>
  <c r="M285" i="2"/>
  <c r="L285" i="2"/>
  <c r="K285" i="2"/>
  <c r="M284" i="2"/>
  <c r="L284" i="2"/>
  <c r="K284" i="2"/>
  <c r="M283" i="2"/>
  <c r="L283" i="2"/>
  <c r="K283" i="2"/>
  <c r="M282" i="2"/>
  <c r="L282" i="2"/>
  <c r="K282" i="2"/>
  <c r="M281" i="2"/>
  <c r="L281" i="2"/>
  <c r="K281" i="2"/>
  <c r="M280" i="2"/>
  <c r="L280" i="2"/>
  <c r="K280" i="2"/>
  <c r="M279" i="2"/>
  <c r="L279" i="2"/>
  <c r="K279" i="2"/>
  <c r="M278" i="2"/>
  <c r="L278" i="2"/>
  <c r="K278" i="2"/>
  <c r="M277" i="2"/>
  <c r="L277" i="2"/>
  <c r="K277" i="2"/>
  <c r="M276" i="2"/>
  <c r="L276" i="2"/>
  <c r="K276" i="2"/>
  <c r="M275" i="2"/>
  <c r="L275" i="2"/>
  <c r="K275" i="2"/>
  <c r="M274" i="2"/>
  <c r="L274" i="2"/>
  <c r="K274" i="2"/>
  <c r="M273" i="2"/>
  <c r="L273" i="2"/>
  <c r="K273" i="2"/>
  <c r="M272" i="2"/>
  <c r="L272" i="2"/>
  <c r="K272" i="2"/>
  <c r="M271" i="2"/>
  <c r="L271" i="2"/>
  <c r="K271" i="2"/>
  <c r="M270" i="2"/>
  <c r="L270" i="2"/>
  <c r="K270" i="2"/>
  <c r="M269" i="2"/>
  <c r="L269" i="2"/>
  <c r="K269" i="2"/>
  <c r="M268" i="2"/>
  <c r="L268" i="2"/>
  <c r="K268" i="2"/>
  <c r="M267" i="2"/>
  <c r="L267" i="2"/>
  <c r="K267" i="2"/>
  <c r="M266" i="2"/>
  <c r="L266" i="2"/>
  <c r="K266" i="2"/>
  <c r="M265" i="2"/>
  <c r="L265" i="2"/>
  <c r="K265" i="2"/>
  <c r="M264" i="2"/>
  <c r="L264" i="2"/>
  <c r="K264" i="2"/>
  <c r="M263" i="2"/>
  <c r="L263" i="2"/>
  <c r="K263" i="2"/>
  <c r="M262" i="2"/>
  <c r="L262" i="2"/>
  <c r="K262" i="2"/>
  <c r="M261" i="2"/>
  <c r="L261" i="2"/>
  <c r="K261" i="2"/>
  <c r="M260" i="2"/>
  <c r="L260" i="2"/>
  <c r="K260" i="2"/>
  <c r="M259" i="2"/>
  <c r="L259" i="2"/>
  <c r="K259" i="2"/>
  <c r="M258" i="2"/>
  <c r="L258" i="2"/>
  <c r="K258" i="2"/>
  <c r="M257" i="2"/>
  <c r="L257" i="2"/>
  <c r="K257" i="2"/>
  <c r="M256" i="2"/>
  <c r="L256" i="2"/>
  <c r="K256" i="2"/>
  <c r="M255" i="2"/>
  <c r="L255" i="2"/>
  <c r="K255" i="2"/>
  <c r="M254" i="2"/>
  <c r="L254" i="2"/>
  <c r="K254" i="2"/>
  <c r="M253" i="2"/>
  <c r="L253" i="2"/>
  <c r="K253" i="2"/>
  <c r="M252" i="2"/>
  <c r="L252" i="2"/>
  <c r="K252" i="2"/>
  <c r="M251" i="2"/>
  <c r="L251" i="2"/>
  <c r="K251" i="2"/>
  <c r="M250" i="2"/>
  <c r="L250" i="2"/>
  <c r="K250" i="2"/>
  <c r="M249" i="2"/>
  <c r="L249" i="2"/>
  <c r="K249" i="2"/>
  <c r="M248" i="2"/>
  <c r="L248" i="2"/>
  <c r="K248" i="2"/>
  <c r="M247" i="2"/>
  <c r="L247" i="2"/>
  <c r="K247" i="2"/>
  <c r="M246" i="2"/>
  <c r="L246" i="2"/>
  <c r="K246" i="2"/>
  <c r="M245" i="2"/>
  <c r="L245" i="2"/>
  <c r="K245" i="2"/>
  <c r="M244" i="2"/>
  <c r="L244" i="2"/>
  <c r="K244" i="2"/>
  <c r="M243" i="2"/>
  <c r="L243" i="2"/>
  <c r="K243" i="2"/>
  <c r="M242" i="2"/>
  <c r="L242" i="2"/>
  <c r="K242" i="2"/>
  <c r="M241" i="2"/>
  <c r="L241" i="2"/>
  <c r="K241" i="2"/>
  <c r="M240" i="2"/>
  <c r="L240" i="2"/>
  <c r="K240" i="2"/>
  <c r="M239" i="2"/>
  <c r="L239" i="2"/>
  <c r="K239" i="2"/>
  <c r="M238" i="2"/>
  <c r="L238" i="2"/>
  <c r="K238" i="2"/>
  <c r="M237" i="2"/>
  <c r="L237" i="2"/>
  <c r="K237" i="2"/>
  <c r="M236" i="2"/>
  <c r="L236" i="2"/>
  <c r="K236" i="2"/>
  <c r="M235" i="2"/>
  <c r="L235" i="2"/>
  <c r="K235" i="2"/>
  <c r="M234" i="2"/>
  <c r="L234" i="2"/>
  <c r="K234" i="2"/>
  <c r="M233" i="2"/>
  <c r="L233" i="2"/>
  <c r="K233" i="2"/>
  <c r="M232" i="2"/>
  <c r="L232" i="2"/>
  <c r="K232" i="2"/>
  <c r="M231" i="2"/>
  <c r="L231" i="2"/>
  <c r="K231" i="2"/>
  <c r="M230" i="2"/>
  <c r="L230" i="2"/>
  <c r="K230" i="2"/>
  <c r="M229" i="2"/>
  <c r="L229" i="2"/>
  <c r="K229" i="2"/>
  <c r="M228" i="2"/>
  <c r="L228" i="2"/>
  <c r="K228" i="2"/>
  <c r="M227" i="2"/>
  <c r="L227" i="2"/>
  <c r="K227" i="2"/>
  <c r="M226" i="2"/>
  <c r="L226" i="2"/>
  <c r="K226" i="2"/>
  <c r="M225" i="2"/>
  <c r="L225" i="2"/>
  <c r="K225" i="2"/>
  <c r="M224" i="2"/>
  <c r="L224" i="2"/>
  <c r="K224" i="2"/>
  <c r="M223" i="2"/>
  <c r="L223" i="2"/>
  <c r="K223" i="2"/>
  <c r="M222" i="2"/>
  <c r="L222" i="2"/>
  <c r="K222" i="2"/>
  <c r="M221" i="2"/>
  <c r="L221" i="2"/>
  <c r="K221" i="2"/>
  <c r="M220" i="2"/>
  <c r="L220" i="2"/>
  <c r="M219" i="2"/>
  <c r="L219" i="2"/>
  <c r="K219" i="2"/>
  <c r="M218" i="2"/>
  <c r="L218" i="2"/>
  <c r="M217" i="2"/>
  <c r="L217" i="2"/>
  <c r="K217" i="2"/>
  <c r="M216" i="2"/>
  <c r="L216" i="2"/>
  <c r="K216" i="2"/>
  <c r="M215" i="2"/>
  <c r="L215" i="2"/>
  <c r="K215" i="2"/>
  <c r="M214" i="2"/>
  <c r="L214" i="2"/>
  <c r="K214" i="2"/>
  <c r="M213" i="2"/>
  <c r="L213" i="2"/>
  <c r="K213" i="2"/>
  <c r="M212" i="2"/>
  <c r="L212" i="2"/>
  <c r="K212" i="2"/>
  <c r="M211" i="2"/>
  <c r="L211" i="2"/>
  <c r="M210" i="2"/>
  <c r="L210" i="2"/>
  <c r="K210" i="2"/>
  <c r="M209" i="2"/>
  <c r="L209" i="2"/>
  <c r="K209" i="2"/>
  <c r="M208" i="2"/>
  <c r="L208" i="2"/>
  <c r="K208" i="2"/>
  <c r="M207" i="2"/>
  <c r="L207" i="2"/>
  <c r="K207" i="2"/>
  <c r="M206" i="2"/>
  <c r="L206" i="2"/>
  <c r="K206" i="2"/>
  <c r="M205" i="2"/>
  <c r="L205" i="2"/>
  <c r="K205" i="2"/>
  <c r="M204" i="2"/>
  <c r="L204" i="2"/>
  <c r="K204" i="2"/>
  <c r="M203" i="2"/>
  <c r="L203" i="2"/>
  <c r="K203" i="2"/>
  <c r="M202" i="2"/>
  <c r="L202" i="2"/>
  <c r="M201" i="2"/>
  <c r="L201" i="2"/>
  <c r="K201" i="2"/>
  <c r="M200" i="2"/>
  <c r="L200" i="2"/>
  <c r="K200" i="2"/>
  <c r="M199" i="2"/>
  <c r="L199" i="2"/>
  <c r="M198" i="2"/>
  <c r="L198" i="2"/>
  <c r="K198" i="2"/>
  <c r="M197" i="2"/>
  <c r="L197" i="2"/>
  <c r="K197" i="2"/>
  <c r="M196" i="2"/>
  <c r="L196" i="2"/>
  <c r="K196" i="2"/>
  <c r="M195" i="2"/>
  <c r="L195" i="2"/>
  <c r="K195" i="2"/>
  <c r="M194" i="2"/>
  <c r="L194" i="2"/>
  <c r="K194" i="2"/>
  <c r="M193" i="2"/>
  <c r="L193" i="2"/>
  <c r="M192" i="2"/>
  <c r="L192" i="2"/>
  <c r="K192" i="2"/>
  <c r="M191" i="2"/>
  <c r="L191" i="2"/>
  <c r="K191" i="2"/>
  <c r="M190" i="2"/>
  <c r="L190" i="2"/>
  <c r="K190" i="2"/>
  <c r="M189" i="2"/>
  <c r="L189" i="2"/>
  <c r="K189" i="2"/>
  <c r="M188" i="2"/>
  <c r="L188" i="2"/>
  <c r="M187" i="2"/>
  <c r="L187" i="2"/>
  <c r="K187" i="2"/>
  <c r="M186" i="2"/>
  <c r="L186" i="2"/>
  <c r="K186" i="2"/>
  <c r="M185" i="2"/>
  <c r="L185" i="2"/>
  <c r="M184" i="2"/>
  <c r="L184" i="2"/>
  <c r="K184" i="2"/>
  <c r="M183" i="2"/>
  <c r="L183" i="2"/>
  <c r="K183" i="2"/>
  <c r="M182" i="2"/>
  <c r="L182" i="2"/>
  <c r="M181" i="2"/>
  <c r="L181" i="2"/>
  <c r="K181" i="2"/>
  <c r="M180" i="2"/>
  <c r="L180" i="2"/>
  <c r="K180" i="2"/>
  <c r="M179" i="2"/>
  <c r="L179" i="2"/>
  <c r="K179" i="2"/>
  <c r="M178" i="2"/>
  <c r="L178" i="2"/>
  <c r="K178" i="2"/>
  <c r="M177" i="2"/>
  <c r="L177" i="2"/>
  <c r="K177" i="2"/>
  <c r="M176" i="2"/>
  <c r="L176" i="2"/>
  <c r="K176" i="2"/>
  <c r="M175" i="2"/>
  <c r="L175" i="2"/>
  <c r="K175" i="2"/>
  <c r="M174" i="2"/>
  <c r="L174" i="2"/>
  <c r="K174" i="2"/>
  <c r="M173" i="2"/>
  <c r="L173" i="2"/>
  <c r="K173" i="2"/>
  <c r="M172" i="2"/>
  <c r="L172" i="2"/>
  <c r="K172" i="2"/>
  <c r="M171" i="2"/>
  <c r="L171" i="2"/>
  <c r="K171" i="2"/>
  <c r="M170" i="2"/>
  <c r="L170" i="2"/>
  <c r="K170" i="2"/>
  <c r="M169" i="2"/>
  <c r="L169" i="2"/>
  <c r="K169" i="2"/>
  <c r="M168" i="2"/>
  <c r="L168" i="2"/>
  <c r="K168" i="2"/>
  <c r="M167" i="2"/>
  <c r="L167" i="2"/>
  <c r="K167" i="2"/>
  <c r="M166" i="2"/>
  <c r="L166" i="2"/>
  <c r="K166" i="2"/>
  <c r="M165" i="2"/>
  <c r="L165" i="2"/>
  <c r="K165" i="2"/>
  <c r="M164" i="2"/>
  <c r="L164" i="2"/>
  <c r="K164" i="2"/>
  <c r="M163" i="2"/>
  <c r="L163" i="2"/>
  <c r="K163" i="2"/>
  <c r="M162" i="2"/>
  <c r="L162" i="2"/>
  <c r="K162" i="2"/>
  <c r="M161" i="2"/>
  <c r="L161" i="2"/>
  <c r="K161" i="2"/>
  <c r="M160" i="2"/>
  <c r="L160" i="2"/>
  <c r="K160" i="2"/>
  <c r="M159" i="2"/>
  <c r="L159" i="2"/>
  <c r="K159" i="2"/>
  <c r="M158" i="2"/>
  <c r="L158" i="2"/>
  <c r="K158" i="2"/>
  <c r="M157" i="2"/>
  <c r="L157" i="2"/>
  <c r="K157" i="2"/>
  <c r="M156" i="2"/>
  <c r="L156" i="2"/>
  <c r="K156" i="2"/>
  <c r="M155" i="2"/>
  <c r="L155" i="2"/>
  <c r="K155" i="2"/>
  <c r="M154" i="2"/>
  <c r="L154" i="2"/>
  <c r="K154" i="2"/>
  <c r="M153" i="2"/>
  <c r="L153" i="2"/>
  <c r="K153" i="2"/>
  <c r="M152" i="2"/>
  <c r="L152" i="2"/>
  <c r="K152" i="2"/>
  <c r="M151" i="2"/>
  <c r="L151" i="2"/>
  <c r="K151" i="2"/>
  <c r="M150" i="2"/>
  <c r="L150" i="2"/>
  <c r="K150" i="2"/>
  <c r="M149" i="2"/>
  <c r="L149" i="2"/>
  <c r="K149" i="2"/>
  <c r="M148" i="2"/>
  <c r="L148" i="2"/>
  <c r="K148" i="2"/>
  <c r="M147" i="2"/>
  <c r="L147" i="2"/>
  <c r="K147" i="2"/>
  <c r="M146" i="2"/>
  <c r="L146" i="2"/>
  <c r="K146" i="2"/>
  <c r="M145" i="2"/>
  <c r="L145" i="2"/>
  <c r="K145" i="2"/>
  <c r="M144" i="2"/>
  <c r="L144" i="2"/>
  <c r="K144" i="2"/>
  <c r="M143" i="2"/>
  <c r="L143" i="2"/>
  <c r="K143" i="2"/>
  <c r="M142" i="2"/>
  <c r="L142" i="2"/>
  <c r="K142" i="2"/>
  <c r="M141" i="2"/>
  <c r="L141" i="2"/>
  <c r="K141" i="2"/>
  <c r="M140" i="2"/>
  <c r="L140" i="2"/>
  <c r="K140" i="2"/>
  <c r="M139" i="2"/>
  <c r="L139" i="2"/>
  <c r="K139" i="2"/>
  <c r="M138" i="2"/>
  <c r="L138" i="2"/>
  <c r="K138" i="2"/>
  <c r="M137" i="2"/>
  <c r="L137" i="2"/>
  <c r="K137" i="2"/>
  <c r="M136" i="2"/>
  <c r="L136" i="2"/>
  <c r="K136" i="2"/>
  <c r="M135" i="2"/>
  <c r="L135" i="2"/>
  <c r="K135" i="2"/>
  <c r="M134" i="2"/>
  <c r="L134" i="2"/>
  <c r="K134" i="2"/>
  <c r="M133" i="2"/>
  <c r="L133" i="2"/>
  <c r="K133" i="2"/>
  <c r="M132" i="2"/>
  <c r="L132" i="2"/>
  <c r="K132" i="2"/>
  <c r="M131" i="2"/>
  <c r="L131" i="2"/>
  <c r="K131" i="2"/>
  <c r="M130" i="2"/>
  <c r="L130" i="2"/>
  <c r="K130" i="2"/>
  <c r="M129" i="2"/>
  <c r="L129" i="2"/>
  <c r="K129" i="2"/>
  <c r="M128" i="2"/>
  <c r="L128" i="2"/>
  <c r="K128" i="2"/>
  <c r="M127" i="2"/>
  <c r="L127" i="2"/>
  <c r="K127" i="2"/>
  <c r="M126" i="2"/>
  <c r="L126" i="2"/>
  <c r="K126" i="2"/>
  <c r="M125" i="2"/>
  <c r="L125" i="2"/>
  <c r="K125" i="2"/>
  <c r="M124" i="2"/>
  <c r="L124" i="2"/>
  <c r="K124" i="2"/>
  <c r="M123" i="2"/>
  <c r="L123" i="2"/>
  <c r="M122" i="2"/>
  <c r="L122" i="2"/>
  <c r="K122" i="2"/>
  <c r="M121" i="2"/>
  <c r="L121" i="2"/>
  <c r="M120" i="2"/>
  <c r="L120" i="2"/>
  <c r="K120" i="2"/>
  <c r="M119" i="2"/>
  <c r="L119" i="2"/>
  <c r="M118" i="2"/>
  <c r="L118" i="2"/>
  <c r="K118" i="2"/>
  <c r="M117" i="2"/>
  <c r="L117" i="2"/>
  <c r="M116" i="2"/>
  <c r="L116" i="2"/>
  <c r="K116" i="2"/>
  <c r="M115" i="2"/>
  <c r="L115" i="2"/>
  <c r="K115" i="2"/>
  <c r="M114" i="2"/>
  <c r="L114" i="2"/>
  <c r="M113" i="2"/>
  <c r="L113" i="2"/>
  <c r="K113" i="2"/>
  <c r="M112" i="2"/>
  <c r="L112" i="2"/>
  <c r="M111" i="2"/>
  <c r="L111" i="2"/>
  <c r="K111" i="2"/>
  <c r="M110" i="2"/>
  <c r="L110" i="2"/>
  <c r="K110" i="2"/>
  <c r="M109" i="2"/>
  <c r="L109" i="2"/>
  <c r="M108" i="2"/>
  <c r="L108" i="2"/>
  <c r="K108" i="2"/>
  <c r="M107" i="2"/>
  <c r="L107" i="2"/>
  <c r="K107" i="2"/>
  <c r="M106" i="2"/>
  <c r="L106" i="2"/>
  <c r="K106" i="2"/>
  <c r="M105" i="2"/>
  <c r="L105" i="2"/>
  <c r="M104" i="2"/>
  <c r="L104" i="2"/>
  <c r="K104" i="2"/>
  <c r="M103" i="2"/>
  <c r="L103" i="2"/>
  <c r="M102" i="2"/>
  <c r="L102" i="2"/>
  <c r="M101" i="2"/>
  <c r="L101" i="2"/>
  <c r="K101" i="2"/>
  <c r="M100" i="2"/>
  <c r="L100" i="2"/>
  <c r="M99" i="2"/>
  <c r="L99" i="2"/>
  <c r="M98" i="2"/>
  <c r="L98" i="2"/>
  <c r="M97" i="2"/>
  <c r="L97" i="2"/>
  <c r="M96" i="2"/>
  <c r="L96" i="2"/>
  <c r="M95" i="2"/>
  <c r="L95" i="2"/>
  <c r="K95" i="2"/>
  <c r="M94" i="2"/>
  <c r="L94" i="2"/>
  <c r="K94" i="2"/>
  <c r="M93" i="2"/>
  <c r="L93" i="2"/>
  <c r="K93" i="2"/>
  <c r="M92" i="2"/>
  <c r="L92" i="2"/>
  <c r="K92" i="2"/>
  <c r="M91" i="2"/>
  <c r="L91" i="2"/>
  <c r="K91" i="2"/>
  <c r="M90" i="2"/>
  <c r="L90" i="2"/>
  <c r="K90" i="2"/>
  <c r="M89" i="2"/>
  <c r="L89" i="2"/>
  <c r="K89" i="2"/>
  <c r="M88" i="2"/>
  <c r="L88" i="2"/>
  <c r="K88" i="2"/>
  <c r="M87" i="2"/>
  <c r="L87" i="2"/>
  <c r="K87" i="2"/>
  <c r="M86" i="2"/>
  <c r="L86" i="2"/>
  <c r="K86" i="2"/>
  <c r="M85" i="2"/>
  <c r="L85" i="2"/>
  <c r="K85" i="2"/>
  <c r="M84" i="2"/>
  <c r="L84" i="2"/>
  <c r="K84" i="2"/>
  <c r="M83" i="2"/>
  <c r="L83" i="2"/>
  <c r="K83" i="2"/>
  <c r="M82" i="2"/>
  <c r="L82" i="2"/>
  <c r="K82" i="2"/>
  <c r="M81" i="2"/>
  <c r="L81" i="2"/>
  <c r="K81" i="2"/>
  <c r="M80" i="2"/>
  <c r="L80" i="2"/>
  <c r="K80" i="2"/>
  <c r="M79" i="2"/>
  <c r="L79" i="2"/>
  <c r="K79" i="2"/>
  <c r="M78" i="2"/>
  <c r="L78" i="2"/>
  <c r="K78" i="2"/>
  <c r="M77" i="2"/>
  <c r="L77" i="2"/>
  <c r="K77" i="2"/>
  <c r="M76" i="2"/>
  <c r="L76" i="2"/>
  <c r="K76" i="2"/>
  <c r="M75" i="2"/>
  <c r="L75" i="2"/>
  <c r="K75" i="2"/>
  <c r="M74" i="2"/>
  <c r="L74" i="2"/>
  <c r="K74" i="2"/>
  <c r="M73" i="2"/>
  <c r="L73" i="2"/>
  <c r="K73" i="2"/>
  <c r="M72" i="2"/>
  <c r="L72" i="2"/>
  <c r="K72" i="2"/>
  <c r="M71" i="2"/>
  <c r="L71" i="2"/>
  <c r="K71" i="2"/>
  <c r="M70" i="2"/>
  <c r="L70" i="2"/>
  <c r="K70" i="2"/>
  <c r="M69" i="2"/>
  <c r="L69" i="2"/>
  <c r="K69" i="2"/>
  <c r="M68" i="2"/>
  <c r="L68" i="2"/>
  <c r="K68" i="2"/>
  <c r="M67" i="2"/>
  <c r="L67" i="2"/>
  <c r="K67" i="2"/>
  <c r="M66" i="2"/>
  <c r="L66" i="2"/>
  <c r="K66" i="2"/>
  <c r="M65" i="2"/>
  <c r="L65" i="2"/>
  <c r="K65" i="2"/>
  <c r="M64" i="2"/>
  <c r="L64" i="2"/>
  <c r="K64" i="2"/>
  <c r="M63" i="2"/>
  <c r="L63" i="2"/>
  <c r="K63" i="2"/>
  <c r="M62" i="2"/>
  <c r="L62" i="2"/>
  <c r="K62" i="2"/>
  <c r="M61" i="2"/>
  <c r="L61" i="2"/>
  <c r="K61" i="2"/>
  <c r="M60" i="2"/>
  <c r="L60" i="2"/>
  <c r="K60" i="2"/>
  <c r="M59" i="2"/>
  <c r="L59" i="2"/>
  <c r="K59" i="2"/>
  <c r="M58" i="2"/>
  <c r="L58" i="2"/>
  <c r="K58" i="2"/>
  <c r="M57" i="2"/>
  <c r="L57" i="2"/>
  <c r="K57" i="2"/>
  <c r="M56" i="2"/>
  <c r="L56" i="2"/>
  <c r="K56" i="2"/>
  <c r="M55" i="2"/>
  <c r="L55" i="2"/>
  <c r="K55" i="2"/>
  <c r="M54" i="2"/>
  <c r="L54" i="2"/>
  <c r="K54" i="2"/>
  <c r="M53" i="2"/>
  <c r="L53" i="2"/>
  <c r="K53" i="2"/>
  <c r="M52" i="2"/>
  <c r="L52" i="2"/>
  <c r="K52" i="2"/>
  <c r="M51" i="2"/>
  <c r="L51" i="2"/>
  <c r="K51" i="2"/>
  <c r="M50" i="2"/>
  <c r="L50" i="2"/>
  <c r="K50" i="2"/>
  <c r="M49" i="2"/>
  <c r="L49" i="2"/>
  <c r="K49" i="2"/>
  <c r="M48" i="2"/>
  <c r="L48" i="2"/>
  <c r="K48" i="2"/>
  <c r="M47" i="2"/>
  <c r="L47" i="2"/>
  <c r="K47" i="2"/>
  <c r="M46" i="2"/>
  <c r="L46" i="2"/>
  <c r="K46" i="2"/>
  <c r="M45" i="2"/>
  <c r="L45" i="2"/>
  <c r="K45" i="2"/>
  <c r="M44" i="2"/>
  <c r="L44" i="2"/>
  <c r="K44" i="2"/>
  <c r="M43" i="2"/>
  <c r="L43" i="2"/>
  <c r="K43" i="2"/>
  <c r="M42" i="2"/>
  <c r="L42" i="2"/>
  <c r="K42" i="2"/>
  <c r="M41" i="2"/>
  <c r="L41" i="2"/>
  <c r="K41" i="2"/>
  <c r="M40" i="2"/>
  <c r="L40" i="2"/>
  <c r="K40" i="2"/>
  <c r="M39" i="2"/>
  <c r="L39" i="2"/>
  <c r="K39" i="2"/>
  <c r="M38" i="2"/>
  <c r="L38" i="2"/>
  <c r="K38" i="2"/>
  <c r="M37" i="2"/>
  <c r="L37" i="2"/>
  <c r="K37" i="2"/>
  <c r="M36" i="2"/>
  <c r="L36" i="2"/>
  <c r="K36" i="2"/>
  <c r="M35" i="2"/>
  <c r="L35" i="2"/>
  <c r="K35" i="2"/>
  <c r="M34" i="2"/>
  <c r="L34" i="2"/>
  <c r="K34" i="2"/>
  <c r="M33" i="2"/>
  <c r="L33" i="2"/>
  <c r="K33" i="2"/>
  <c r="M32" i="2"/>
  <c r="L32" i="2"/>
  <c r="K32" i="2"/>
  <c r="M31" i="2"/>
  <c r="L31" i="2"/>
  <c r="K31" i="2"/>
  <c r="M30" i="2"/>
  <c r="L30" i="2"/>
  <c r="K30" i="2"/>
  <c r="M29" i="2"/>
  <c r="L29" i="2"/>
  <c r="K29" i="2"/>
  <c r="M28" i="2"/>
  <c r="L28" i="2"/>
  <c r="K28" i="2"/>
  <c r="M27" i="2"/>
  <c r="L27" i="2"/>
  <c r="K27" i="2"/>
  <c r="M26" i="2"/>
  <c r="L26" i="2"/>
  <c r="K26" i="2"/>
  <c r="M25" i="2"/>
  <c r="L25" i="2"/>
  <c r="K25" i="2"/>
  <c r="M24" i="2"/>
  <c r="L24" i="2"/>
  <c r="K24" i="2"/>
  <c r="M23" i="2"/>
  <c r="L23" i="2"/>
  <c r="K23" i="2"/>
  <c r="M22" i="2"/>
  <c r="L22" i="2"/>
  <c r="K22" i="2"/>
  <c r="M21" i="2"/>
  <c r="L21" i="2"/>
  <c r="K21" i="2"/>
  <c r="M20" i="2"/>
  <c r="L20" i="2"/>
  <c r="K20" i="2"/>
  <c r="M19" i="2"/>
  <c r="L19" i="2"/>
  <c r="K19" i="2"/>
  <c r="M18" i="2"/>
  <c r="L18" i="2"/>
  <c r="K18" i="2"/>
  <c r="M17" i="2"/>
  <c r="L17" i="2"/>
  <c r="K17" i="2"/>
  <c r="M16" i="2"/>
  <c r="L16" i="2"/>
  <c r="M15" i="2"/>
  <c r="L15" i="2"/>
  <c r="M14" i="2"/>
  <c r="L14" i="2"/>
  <c r="M13" i="2"/>
  <c r="L13" i="2"/>
  <c r="M12" i="2"/>
  <c r="L12" i="2"/>
  <c r="M11" i="2"/>
  <c r="L11" i="2"/>
  <c r="M10" i="2"/>
  <c r="L10" i="2"/>
  <c r="K10" i="2"/>
  <c r="M9" i="2"/>
  <c r="L9" i="2"/>
  <c r="K9" i="2"/>
  <c r="M8" i="2"/>
  <c r="L8" i="2"/>
  <c r="K8" i="2"/>
  <c r="M7" i="2"/>
  <c r="L7" i="2"/>
  <c r="K7" i="2"/>
  <c r="M6" i="2"/>
  <c r="L6" i="2"/>
  <c r="K6" i="2"/>
  <c r="M5" i="2"/>
  <c r="L5" i="2"/>
  <c r="K5" i="2"/>
  <c r="M4" i="2"/>
  <c r="L4" i="2"/>
  <c r="K4" i="2"/>
  <c r="M3" i="2"/>
  <c r="L3" i="2"/>
  <c r="K3" i="2"/>
  <c r="M2" i="2"/>
  <c r="L2" i="2"/>
  <c r="K2" i="2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A2" i="4" a="1"/>
  <c r="C69" i="6" l="1"/>
  <c r="E69" i="6" s="1"/>
  <c r="C67" i="6"/>
  <c r="E67" i="6" s="1"/>
  <c r="C66" i="6"/>
  <c r="E66" i="6" s="1"/>
  <c r="C19" i="6"/>
  <c r="E19" i="6" s="1"/>
  <c r="D100" i="5"/>
  <c r="E100" i="5" s="1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E84" i="5" s="1"/>
  <c r="D83" i="5"/>
  <c r="E83" i="5" s="1"/>
  <c r="D82" i="5"/>
  <c r="E82" i="5" s="1"/>
  <c r="D81" i="5"/>
  <c r="E81" i="5" s="1"/>
  <c r="C52" i="6"/>
  <c r="E52" i="6" s="1"/>
  <c r="C51" i="6"/>
  <c r="E51" i="6" s="1"/>
  <c r="C50" i="6"/>
  <c r="E50" i="6" s="1"/>
  <c r="D49" i="6"/>
  <c r="C49" i="6"/>
  <c r="E49" i="6" s="1"/>
  <c r="C48" i="6"/>
  <c r="E48" i="6" s="1"/>
  <c r="E47" i="6"/>
  <c r="D47" i="6"/>
  <c r="E46" i="6"/>
  <c r="D46" i="6"/>
  <c r="E45" i="6"/>
  <c r="B39" i="6"/>
  <c r="D37" i="6"/>
  <c r="B31" i="6"/>
  <c r="C23" i="6"/>
  <c r="E23" i="6" s="1"/>
  <c r="K1114" i="2"/>
  <c r="C53" i="6"/>
  <c r="E53" i="6" s="1"/>
  <c r="D106" i="5"/>
  <c r="D102" i="5"/>
  <c r="K873" i="2"/>
  <c r="K868" i="2"/>
  <c r="K865" i="2"/>
  <c r="K860" i="2"/>
  <c r="C54" i="6"/>
  <c r="E54" i="6" s="1"/>
  <c r="C21" i="6"/>
  <c r="E21" i="6" s="1"/>
  <c r="B30" i="6" s="1"/>
  <c r="B77" i="6" s="1"/>
  <c r="K872" i="2"/>
  <c r="C55" i="6"/>
  <c r="E55" i="6" s="1"/>
  <c r="C20" i="6"/>
  <c r="E20" i="6" s="1"/>
  <c r="C59" i="6"/>
  <c r="E59" i="6" s="1"/>
  <c r="C57" i="6"/>
  <c r="E57" i="6" s="1"/>
  <c r="K438" i="2"/>
  <c r="K437" i="2"/>
  <c r="K100" i="2"/>
  <c r="K97" i="2"/>
  <c r="C18" i="6"/>
  <c r="E18" i="6" s="1"/>
  <c r="C10" i="6"/>
  <c r="E10" i="6" s="1"/>
  <c r="E11" i="6" s="1"/>
  <c r="B75" i="6" s="1"/>
  <c r="D112" i="5"/>
  <c r="D109" i="5"/>
  <c r="D108" i="5"/>
  <c r="D105" i="5"/>
  <c r="C60" i="6"/>
  <c r="E60" i="6" s="1"/>
  <c r="C37" i="6"/>
  <c r="E37" i="6" s="1"/>
  <c r="E38" i="6" s="1"/>
  <c r="B78" i="6" s="1"/>
  <c r="B26" i="6"/>
  <c r="K351" i="2"/>
  <c r="C64" i="6"/>
  <c r="E64" i="6" s="1"/>
  <c r="C61" i="6"/>
  <c r="E61" i="6" s="1"/>
  <c r="K520" i="2"/>
  <c r="K439" i="2"/>
  <c r="K12" i="2"/>
  <c r="C63" i="6"/>
  <c r="E63" i="6" s="1"/>
  <c r="K435" i="2"/>
  <c r="D111" i="5"/>
  <c r="D107" i="5"/>
  <c r="E105" i="5"/>
  <c r="D103" i="5"/>
  <c r="D101" i="5"/>
  <c r="K220" i="2"/>
  <c r="K218" i="2"/>
  <c r="K211" i="2"/>
  <c r="K202" i="2"/>
  <c r="K199" i="2"/>
  <c r="K193" i="2"/>
  <c r="K188" i="2"/>
  <c r="K185" i="2"/>
  <c r="K182" i="2"/>
  <c r="K123" i="2"/>
  <c r="K119" i="2"/>
  <c r="K16" i="2"/>
  <c r="E111" i="5"/>
  <c r="D110" i="5"/>
  <c r="D104" i="5"/>
  <c r="K114" i="2"/>
  <c r="K109" i="2"/>
  <c r="K105" i="2"/>
  <c r="K103" i="2"/>
  <c r="K99" i="2"/>
  <c r="K98" i="2"/>
  <c r="K96" i="2"/>
  <c r="K15" i="2"/>
  <c r="K11" i="2"/>
  <c r="C65" i="6"/>
  <c r="E65" i="6" s="1"/>
  <c r="C22" i="6"/>
  <c r="E22" i="6" s="1"/>
  <c r="K121" i="2"/>
  <c r="K117" i="2"/>
  <c r="K112" i="2"/>
  <c r="K102" i="2"/>
  <c r="A2" i="4"/>
  <c r="B12" i="6"/>
  <c r="K14" i="2"/>
  <c r="K13" i="2"/>
  <c r="C62" i="6"/>
  <c r="E62" i="6" s="1"/>
  <c r="C58" i="6"/>
  <c r="E58" i="6" s="1"/>
  <c r="C56" i="6"/>
  <c r="E56" i="6" s="1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E94" i="5" l="1"/>
  <c r="B40" i="6"/>
  <c r="C78" i="6"/>
  <c r="B32" i="6"/>
  <c r="C77" i="6"/>
  <c r="B25" i="6"/>
  <c r="B76" i="6" s="1"/>
  <c r="E24" i="6"/>
  <c r="B27" i="6"/>
  <c r="C76" i="6"/>
  <c r="D61" i="6"/>
  <c r="D62" i="6"/>
  <c r="D48" i="6"/>
  <c r="D58" i="6"/>
  <c r="D60" i="6"/>
  <c r="D23" i="6"/>
  <c r="D57" i="6"/>
  <c r="D59" i="6"/>
  <c r="D56" i="6"/>
  <c r="D19" i="6"/>
  <c r="D54" i="6"/>
  <c r="D20" i="6"/>
  <c r="D53" i="6"/>
  <c r="D52" i="6"/>
  <c r="D22" i="6"/>
  <c r="D18" i="6"/>
  <c r="D65" i="6"/>
  <c r="D55" i="6"/>
  <c r="D10" i="6"/>
  <c r="D64" i="6"/>
  <c r="D21" i="6"/>
  <c r="D63" i="6"/>
  <c r="B2" i="4"/>
  <c r="C2" i="4"/>
  <c r="D2" i="4" s="1"/>
  <c r="B13" i="6"/>
  <c r="C75" i="6"/>
  <c r="B52" i="4"/>
  <c r="C52" i="4"/>
  <c r="D52" i="4" s="1"/>
  <c r="B51" i="4"/>
  <c r="C51" i="4"/>
  <c r="D51" i="4" s="1"/>
  <c r="B50" i="4"/>
  <c r="C50" i="4"/>
  <c r="D50" i="4" s="1"/>
  <c r="B49" i="4"/>
  <c r="C49" i="4"/>
  <c r="D49" i="4" s="1"/>
  <c r="B48" i="4"/>
  <c r="C48" i="4"/>
  <c r="D48" i="4" s="1"/>
  <c r="B47" i="4"/>
  <c r="C47" i="4"/>
  <c r="D47" i="4" s="1"/>
  <c r="B46" i="4"/>
  <c r="C46" i="4"/>
  <c r="B45" i="4"/>
  <c r="C45" i="4"/>
  <c r="D45" i="4" s="1"/>
  <c r="B44" i="4"/>
  <c r="C44" i="4"/>
  <c r="D44" i="4" s="1"/>
  <c r="B43" i="4"/>
  <c r="C43" i="4"/>
  <c r="D43" i="4" s="1"/>
  <c r="B42" i="4"/>
  <c r="C42" i="4"/>
  <c r="D42" i="4" s="1"/>
  <c r="B41" i="4"/>
  <c r="C41" i="4"/>
  <c r="D41" i="4" s="1"/>
  <c r="B40" i="4"/>
  <c r="C40" i="4"/>
  <c r="D40" i="4" s="1"/>
  <c r="B39" i="4"/>
  <c r="C39" i="4"/>
  <c r="D39" i="4" s="1"/>
  <c r="B38" i="4"/>
  <c r="C38" i="4"/>
  <c r="D38" i="4" s="1"/>
  <c r="B37" i="4"/>
  <c r="C37" i="4"/>
  <c r="D37" i="4" s="1"/>
  <c r="B36" i="4"/>
  <c r="C36" i="4"/>
  <c r="D36" i="4" s="1"/>
  <c r="B35" i="4"/>
  <c r="C35" i="4"/>
  <c r="D35" i="4" s="1"/>
  <c r="B34" i="4"/>
  <c r="C34" i="4"/>
  <c r="D34" i="4" s="1"/>
  <c r="B33" i="4"/>
  <c r="C33" i="4"/>
  <c r="D33" i="4" s="1"/>
  <c r="B32" i="4"/>
  <c r="C32" i="4"/>
  <c r="B31" i="4"/>
  <c r="C31" i="4"/>
  <c r="D31" i="4" s="1"/>
  <c r="B30" i="4"/>
  <c r="C30" i="4"/>
  <c r="D30" i="4" s="1"/>
  <c r="B29" i="4"/>
  <c r="C29" i="4"/>
  <c r="D29" i="4" s="1"/>
  <c r="B28" i="4"/>
  <c r="C28" i="4"/>
  <c r="D28" i="4" s="1"/>
  <c r="B27" i="4"/>
  <c r="C27" i="4"/>
  <c r="D27" i="4" s="1"/>
  <c r="B26" i="4"/>
  <c r="C26" i="4"/>
  <c r="D26" i="4" s="1"/>
  <c r="B25" i="4"/>
  <c r="C25" i="4"/>
  <c r="D25" i="4" s="1"/>
  <c r="B24" i="4"/>
  <c r="C24" i="4"/>
  <c r="D24" i="4" s="1"/>
  <c r="B23" i="4"/>
  <c r="C23" i="4"/>
  <c r="D23" i="4" s="1"/>
  <c r="B22" i="4"/>
  <c r="C22" i="4"/>
  <c r="D22" i="4" s="1"/>
  <c r="B21" i="4"/>
  <c r="C21" i="4"/>
  <c r="D21" i="4" s="1"/>
  <c r="B20" i="4"/>
  <c r="C20" i="4"/>
  <c r="D20" i="4" s="1"/>
  <c r="B19" i="4"/>
  <c r="C19" i="4"/>
  <c r="D19" i="4" s="1"/>
  <c r="B18" i="4"/>
  <c r="C18" i="4"/>
  <c r="B17" i="4"/>
  <c r="C17" i="4"/>
  <c r="D17" i="4" s="1"/>
  <c r="B16" i="4"/>
  <c r="C16" i="4"/>
  <c r="D16" i="4" s="1"/>
  <c r="B15" i="4"/>
  <c r="C15" i="4"/>
  <c r="D15" i="4" s="1"/>
  <c r="B14" i="4"/>
  <c r="C14" i="4"/>
  <c r="D14" i="4" s="1"/>
  <c r="B13" i="4"/>
  <c r="C13" i="4"/>
  <c r="D13" i="4" s="1"/>
  <c r="B12" i="4"/>
  <c r="C12" i="4"/>
  <c r="D12" i="4" s="1"/>
  <c r="B11" i="4"/>
  <c r="C11" i="4"/>
  <c r="D11" i="4" s="1"/>
  <c r="B10" i="4"/>
  <c r="C10" i="4"/>
  <c r="D10" i="4" s="1"/>
  <c r="B9" i="4"/>
  <c r="C9" i="4"/>
  <c r="D9" i="4" s="1"/>
  <c r="B8" i="4"/>
  <c r="C8" i="4"/>
  <c r="D8" i="4" s="1"/>
  <c r="B7" i="4"/>
  <c r="C7" i="4"/>
  <c r="D7" i="4" s="1"/>
  <c r="B6" i="4"/>
  <c r="C6" i="4"/>
  <c r="D6" i="4" s="1"/>
  <c r="B5" i="4"/>
  <c r="C5" i="4"/>
  <c r="D5" i="4" s="1"/>
  <c r="B4" i="4"/>
  <c r="C4" i="4"/>
  <c r="D4" i="4" s="1"/>
  <c r="B3" i="4"/>
  <c r="C3" i="4"/>
  <c r="D3" i="4" s="1"/>
  <c r="D68" i="6"/>
  <c r="E99" i="5"/>
  <c r="E98" i="5"/>
  <c r="E97" i="5"/>
  <c r="E96" i="5"/>
  <c r="E95" i="5"/>
  <c r="E93" i="5"/>
  <c r="E92" i="5"/>
  <c r="E91" i="5"/>
  <c r="E90" i="5"/>
  <c r="E89" i="5"/>
  <c r="E88" i="5"/>
  <c r="E87" i="5"/>
  <c r="E86" i="5"/>
  <c r="E85" i="5"/>
  <c r="D51" i="6"/>
  <c r="D50" i="6"/>
  <c r="D45" i="6"/>
  <c r="E112" i="5"/>
  <c r="E109" i="5"/>
  <c r="E108" i="5"/>
  <c r="E107" i="5"/>
  <c r="E103" i="5"/>
  <c r="E101" i="5"/>
  <c r="E110" i="5"/>
  <c r="E104" i="5"/>
  <c r="C68" i="6"/>
  <c r="E68" i="6" s="1"/>
  <c r="D66" i="6"/>
  <c r="D67" i="6"/>
  <c r="C70" i="6"/>
  <c r="E70" i="6" s="1"/>
  <c r="D69" i="6"/>
  <c r="D70" i="6"/>
  <c r="E106" i="5"/>
  <c r="E102" i="5"/>
  <c r="B41" i="6" l="1"/>
  <c r="E78" i="6" s="1"/>
  <c r="D78" i="6"/>
  <c r="B33" i="6"/>
  <c r="E77" i="6" s="1"/>
  <c r="D77" i="6"/>
  <c r="B28" i="6"/>
  <c r="E76" i="6" s="1"/>
  <c r="D76" i="6"/>
  <c r="D75" i="6"/>
  <c r="B14" i="6"/>
  <c r="E75" i="6" s="1"/>
  <c r="D46" i="4"/>
  <c r="E71" i="6"/>
  <c r="D32" i="4"/>
  <c r="D18" i="4"/>
</calcChain>
</file>

<file path=xl/sharedStrings.xml><?xml version="1.0" encoding="utf-8"?>
<sst xmlns="http://schemas.openxmlformats.org/spreadsheetml/2006/main" count="3865" uniqueCount="223">
  <si>
    <t>PRODUTO</t>
  </si>
  <si>
    <t>QTD PLANEJADA (kg)</t>
  </si>
  <si>
    <t>avanfloc 18</t>
  </si>
  <si>
    <t>clorito solução</t>
  </si>
  <si>
    <t>solupan</t>
  </si>
  <si>
    <t>C 120</t>
  </si>
  <si>
    <t>LPB</t>
  </si>
  <si>
    <t>redutor de ph</t>
  </si>
  <si>
    <t>brancol 30%</t>
  </si>
  <si>
    <t>Cln 140</t>
  </si>
  <si>
    <t>pac reduzido</t>
  </si>
  <si>
    <t>sabão industrial</t>
  </si>
  <si>
    <t>detergente clorado</t>
  </si>
  <si>
    <t>Antiespumante silicone</t>
  </si>
  <si>
    <t>Bac 50</t>
  </si>
  <si>
    <t>avancolor 500</t>
  </si>
  <si>
    <t>acido acetico 70%</t>
  </si>
  <si>
    <t>Bac 40</t>
  </si>
  <si>
    <t>Antiespumante vegetal</t>
  </si>
  <si>
    <t>rcn</t>
  </si>
  <si>
    <t>Detergente neutro</t>
  </si>
  <si>
    <t>clorito 31%</t>
  </si>
  <si>
    <t>Acido acetico 75%</t>
  </si>
  <si>
    <t>avanfloc 300P</t>
  </si>
  <si>
    <t>Dietanolamina  85%</t>
  </si>
  <si>
    <t>alcool 96</t>
  </si>
  <si>
    <t>Avamid-6 22-24 (amida 60)</t>
  </si>
  <si>
    <t>Less solução</t>
  </si>
  <si>
    <t>Hidroxido de potassio solução</t>
  </si>
  <si>
    <t>Avanil (butil glicol)</t>
  </si>
  <si>
    <t>Base de betaina1</t>
  </si>
  <si>
    <t>Avamid-9 (amida 90)</t>
  </si>
  <si>
    <t>Avanclor 80</t>
  </si>
  <si>
    <t>Avanless 27</t>
  </si>
  <si>
    <t>Avamid-6 18-22(amida 60)</t>
  </si>
  <si>
    <t>Avanbeta-30</t>
  </si>
  <si>
    <t>TOTAL DA SEMANA</t>
  </si>
  <si>
    <t>acido cresilico</t>
  </si>
  <si>
    <t>acrylux</t>
  </si>
  <si>
    <t>alcool cetoestearilico</t>
  </si>
  <si>
    <t>antiespumante silicone mp</t>
  </si>
  <si>
    <t>antiespumante vegetal mp</t>
  </si>
  <si>
    <t>carnauba</t>
  </si>
  <si>
    <t>clorito 40</t>
  </si>
  <si>
    <t>glicerina usp</t>
  </si>
  <si>
    <t>metilato 30%</t>
  </si>
  <si>
    <t>oleo de mamona</t>
  </si>
  <si>
    <t>parafina macro</t>
  </si>
  <si>
    <t>bac 80</t>
  </si>
  <si>
    <t>monocloro acetato de sodio</t>
  </si>
  <si>
    <t>oleo de côco</t>
  </si>
  <si>
    <t>alcool etilico 99</t>
  </si>
  <si>
    <t>dmapa</t>
  </si>
  <si>
    <t>oleo de palmiste rbd</t>
  </si>
  <si>
    <t>glicerina branca bi destilada</t>
  </si>
  <si>
    <t>hidroxido de potassio solido</t>
  </si>
  <si>
    <t>less 70</t>
  </si>
  <si>
    <t>butil glicol</t>
  </si>
  <si>
    <t>clorito 31</t>
  </si>
  <si>
    <t>dietanolamina 99</t>
  </si>
  <si>
    <t>agua desmineralizada</t>
  </si>
  <si>
    <t>poliamina</t>
  </si>
  <si>
    <t>base de betaina</t>
  </si>
  <si>
    <t>colorfloc 500</t>
  </si>
  <si>
    <t>aluminato de sodio</t>
  </si>
  <si>
    <t>acido acetico 99%</t>
  </si>
  <si>
    <t>acido graxo de coco</t>
  </si>
  <si>
    <t>alcool polivinilico</t>
  </si>
  <si>
    <t>formaldeido 37%</t>
  </si>
  <si>
    <t>less 27</t>
  </si>
  <si>
    <t>MATERIA-PRIMA</t>
  </si>
  <si>
    <t>PRECISA (kg)</t>
  </si>
  <si>
    <t>ESTOQUE ATUAL (kg)</t>
  </si>
  <si>
    <t>SALDO (kg)</t>
  </si>
  <si>
    <t>STATUS</t>
  </si>
  <si>
    <t>Matéria-Prima</t>
  </si>
  <si>
    <t>Estoque_Atual_kg</t>
  </si>
  <si>
    <t>OBS</t>
  </si>
  <si>
    <t>DATA</t>
  </si>
  <si>
    <t>CONTAGEM</t>
  </si>
  <si>
    <t>falta 130 embalaram do mp</t>
  </si>
  <si>
    <t>ja falei para comprar</t>
  </si>
  <si>
    <t>chega dia 27/03 a 30/03</t>
  </si>
  <si>
    <t>ja falei para comprar DIA24/03</t>
  </si>
  <si>
    <t>Quantidade_Produzida_kg</t>
  </si>
  <si>
    <t>Status</t>
  </si>
  <si>
    <t>Hora_Inicio</t>
  </si>
  <si>
    <t>Hora_Fim</t>
  </si>
  <si>
    <t>Tempo_Total</t>
  </si>
  <si>
    <t>FINALIZADO</t>
  </si>
  <si>
    <t>Conforme</t>
  </si>
  <si>
    <t>Hidroxido de sodio 50%</t>
  </si>
  <si>
    <t>Avanpac 18%</t>
  </si>
  <si>
    <t>Acido sulfurico 50%</t>
  </si>
  <si>
    <t>Antiespumante</t>
  </si>
  <si>
    <t>Acido sulfurico 65%</t>
  </si>
  <si>
    <t>Avanpac 10%</t>
  </si>
  <si>
    <t>Hidroxido de sodio 32%</t>
  </si>
  <si>
    <t>Peroxido de hidrogenio 35%</t>
  </si>
  <si>
    <t>safe</t>
  </si>
  <si>
    <t>DETERGENTE NEUTRO</t>
  </si>
  <si>
    <t>bac 40</t>
  </si>
  <si>
    <t>Peracetico 10%</t>
  </si>
  <si>
    <t>avanless 27</t>
  </si>
  <si>
    <t>acido fluossilicico</t>
  </si>
  <si>
    <t>acido peracetico 5%</t>
  </si>
  <si>
    <t>acido citrico</t>
  </si>
  <si>
    <t>acido cloridrico 22%</t>
  </si>
  <si>
    <t>acido peracetico 15%</t>
  </si>
  <si>
    <t>acido sulfurico 40%</t>
  </si>
  <si>
    <t>1250</t>
  </si>
  <si>
    <t>Hidroxido de sodio 25%</t>
  </si>
  <si>
    <t>BAC 50</t>
  </si>
  <si>
    <t>RCN</t>
  </si>
  <si>
    <t>hidroxido de sodio 30%</t>
  </si>
  <si>
    <t>0h10min</t>
  </si>
  <si>
    <t>27h 20min</t>
  </si>
  <si>
    <t>23h 21min</t>
  </si>
  <si>
    <t>0h 15min</t>
  </si>
  <si>
    <t>26h 32min</t>
  </si>
  <si>
    <t>0h 35min</t>
  </si>
  <si>
    <t>0h 5min</t>
  </si>
  <si>
    <t>26h 52min</t>
  </si>
  <si>
    <t>23h 32min</t>
  </si>
  <si>
    <t>24h 32min</t>
  </si>
  <si>
    <t>0h 19min</t>
  </si>
  <si>
    <t>0h 38min</t>
  </si>
  <si>
    <t>0h 47min</t>
  </si>
  <si>
    <t>0h 33min</t>
  </si>
  <si>
    <t>28h 34min</t>
  </si>
  <si>
    <t>26h 31min</t>
  </si>
  <si>
    <t>1h 47min</t>
  </si>
  <si>
    <t>0h 14min</t>
  </si>
  <si>
    <t>0h 24min</t>
  </si>
  <si>
    <t>1h 46min</t>
  </si>
  <si>
    <t>2h 2min</t>
  </si>
  <si>
    <t>3h 23min</t>
  </si>
  <si>
    <t>1h 27min</t>
  </si>
  <si>
    <t>28h 40min</t>
  </si>
  <si>
    <t>0h 23min</t>
  </si>
  <si>
    <t>2h 24min</t>
  </si>
  <si>
    <t>20h 6min</t>
  </si>
  <si>
    <t>1h04min</t>
  </si>
  <si>
    <t>3h 47min</t>
  </si>
  <si>
    <t>28h 33min</t>
  </si>
  <si>
    <t>1h 52min</t>
  </si>
  <si>
    <t>1h 15min</t>
  </si>
  <si>
    <t>01h 04min</t>
  </si>
  <si>
    <t>23h 33min</t>
  </si>
  <si>
    <t>1h 17min</t>
  </si>
  <si>
    <t>0h 59min</t>
  </si>
  <si>
    <t>26h 23min</t>
  </si>
  <si>
    <t>Soma de Quantidade_Produzida_kg</t>
  </si>
  <si>
    <t>Total Geral</t>
  </si>
  <si>
    <t>Primeira_produção</t>
  </si>
  <si>
    <t>TOTAL_PRODUZIDO</t>
  </si>
  <si>
    <t>MEDIA_MENSAL</t>
  </si>
  <si>
    <t>QUALIDADE</t>
  </si>
  <si>
    <t>tempo acumulado</t>
  </si>
  <si>
    <t>1h20min</t>
  </si>
  <si>
    <t>0h 53min</t>
  </si>
  <si>
    <t xml:space="preserve"> PLANO DA SEMANA  (atualize toda semana)</t>
  </si>
  <si>
    <t xml:space="preserve">   RECEITAS DOS PRODUTOS</t>
  </si>
  <si>
    <t xml:space="preserve">   RESULTADO  (calculado automaticamente - nao editar)</t>
  </si>
  <si>
    <t>1h 0min</t>
  </si>
  <si>
    <t>1h 12min</t>
  </si>
  <si>
    <t>MRP - PLANEJAMENTO DE MATÉRIA-PRIMA</t>
  </si>
  <si>
    <t>Min_por_Kg</t>
  </si>
  <si>
    <t>Tempo_Total_Min</t>
  </si>
  <si>
    <t>CRP - PLANEJAMENTO DE CAPACIDADE DE PRODUÇÃO (POR REATOR)</t>
  </si>
  <si>
    <t>CAPACIDADE DE CADA REATOR (horas/semana)</t>
  </si>
  <si>
    <t>REATOR 1 — LESS 27</t>
  </si>
  <si>
    <t>MIN/KG MÉDIO</t>
  </si>
  <si>
    <t>Nº LOTES (dados)</t>
  </si>
  <si>
    <t>HORAS NECESSÁRIAS</t>
  </si>
  <si>
    <t>TOTAL DO REATOR</t>
  </si>
  <si>
    <t>Capacidade disponível (h)</t>
  </si>
  <si>
    <t>Saldo (h)</t>
  </si>
  <si>
    <t>REATOR 4 — HIDRÓXIDO DE POTÁSSIO</t>
  </si>
  <si>
    <t>PRODUÇÃO EM CTN (sem reator dedicado — capacidade flexível)</t>
  </si>
  <si>
    <t>TOTAL CTN (informativo)</t>
  </si>
  <si>
    <t>0h 16min</t>
  </si>
  <si>
    <t>28h 11min</t>
  </si>
  <si>
    <t>27h 41min</t>
  </si>
  <si>
    <t>27h 42min</t>
  </si>
  <si>
    <t>30h 35min</t>
  </si>
  <si>
    <t>26h 45min</t>
  </si>
  <si>
    <t>32h 33min</t>
  </si>
  <si>
    <t>40h 47min</t>
  </si>
  <si>
    <t>35h 25min</t>
  </si>
  <si>
    <t>30h 15min</t>
  </si>
  <si>
    <t>34h 41min</t>
  </si>
  <si>
    <t>1h 30min</t>
  </si>
  <si>
    <t>CAPACIDADE POR REATOR (o reator não para — funciona 24h, só os operadores saem)</t>
  </si>
  <si>
    <t>Horas de funcionamento por dia (reator não para)</t>
  </si>
  <si>
    <t>Dias de funcionamento por semana</t>
  </si>
  <si>
    <t>REATORES 2 E 3 — ALOCAÇÃO DA SEMANA (escolha em qual reator cada produto está sendo feito)</t>
  </si>
  <si>
    <t>REATOR DESIGNADO</t>
  </si>
  <si>
    <t>Reator 2</t>
  </si>
  <si>
    <t>Reator 3</t>
  </si>
  <si>
    <t>Demanda total da família (Amidas + Betaina, h)</t>
  </si>
  <si>
    <t>REATOR 2 — TOTAL ALOCADO (h)</t>
  </si>
  <si>
    <t>STATUS REATOR 2</t>
  </si>
  <si>
    <t>REATOR 3 — TOTAL ALOCADO (h)</t>
  </si>
  <si>
    <t>STATUS REATOR 3</t>
  </si>
  <si>
    <t>Sem reator fixo — produzido conforme disponibilidade de operador/tempo".</t>
  </si>
  <si>
    <t>REATOR</t>
  </si>
  <si>
    <t>HORAS_NECESSARIAS</t>
  </si>
  <si>
    <t>CAPACIDADE</t>
  </si>
  <si>
    <t>SALDO</t>
  </si>
  <si>
    <t>Reator 1 - Less 27</t>
  </si>
  <si>
    <t>Reator 2 - Amidas</t>
  </si>
  <si>
    <t>Reator 3 - Betaina</t>
  </si>
  <si>
    <t>Reator 4 - Hidroxido</t>
  </si>
  <si>
    <t>Ano_Mes</t>
  </si>
  <si>
    <t>detergente neutro</t>
  </si>
  <si>
    <t>parado 12h/problema/eletrica</t>
  </si>
  <si>
    <t>parado 8h/problema/eletrica</t>
  </si>
  <si>
    <t>antiespumante</t>
  </si>
  <si>
    <t>0h 34min</t>
  </si>
  <si>
    <t>3h 6min</t>
  </si>
  <si>
    <t>EM ANDAMENTO</t>
  </si>
  <si>
    <t>0h40min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</si>
</sst>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#,##0.000"/>
    <numFmt numFmtId="166" formatCode="0.0000000"/>
  </numFmts>
  <fonts count="29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2060"/>
      <name val="Aptos Narrow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1565C0"/>
      <name val="Arial"/>
    </font>
    <font>
      <sz val="9"/>
      <name val="Arial"/>
    </font>
    <font>
      <sz val="9"/>
      <color rgb="FF1565C0"/>
      <name val="Arial"/>
    </font>
    <font>
      <b/>
      <sz val="10"/>
      <name val="Arial"/>
    </font>
    <font>
      <sz val="10"/>
      <color rgb="FF1A237E"/>
      <name val="Arial"/>
    </font>
    <font>
      <i/>
      <sz val="9"/>
      <color rgb="FF555555"/>
      <name val="Arial"/>
    </font>
    <font>
      <sz val="9"/>
      <color rgb="FF1565C0"/>
      <name val="Arial"/>
      <family val="2"/>
    </font>
    <font>
      <sz val="9"/>
      <color rgb="FF1565C0"/>
      <name val="Arial"/>
    </font>
    <font>
      <sz val="10"/>
      <color rgb="FF1A237E"/>
      <name val="Arial"/>
    </font>
    <font>
      <sz val="9"/>
      <color rgb="FF1565C0"/>
      <name val="Arial"/>
    </font>
    <font>
      <sz val="10"/>
      <color rgb="FF1A237E"/>
      <name val="Arial"/>
    </font>
    <font>
      <sz val="9"/>
      <color rgb="FF1565C0"/>
      <name val="Arial"/>
    </font>
    <font>
      <sz val="10"/>
      <color rgb="FF1A237E"/>
      <name val="Arial"/>
    </font>
    <font>
      <b/>
      <sz val="10"/>
      <name val="Aptos"/>
      <family val="2"/>
    </font>
    <font>
      <b/>
      <sz val="10"/>
      <color rgb="FFFFFFFF"/>
      <name val="Aptos"/>
      <family val="2"/>
    </font>
    <font>
      <b/>
      <sz val="11"/>
      <color rgb="FFFFFFFF"/>
      <name val="Aptos"/>
      <family val="2"/>
    </font>
    <font>
      <sz val="11"/>
      <color theme="1"/>
      <name val="Aptos"/>
      <family val="2"/>
    </font>
    <font>
      <b/>
      <sz val="8"/>
      <color rgb="FFFFFFFF"/>
      <name val="Aptos"/>
      <family val="2"/>
    </font>
    <font>
      <b/>
      <sz val="14"/>
      <color rgb="FFFFFFFF"/>
      <name val="Aptos"/>
      <family val="2"/>
    </font>
    <font>
      <i/>
      <sz val="9"/>
      <color rgb="FF555555"/>
      <name val="Arial"/>
      <family val="2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/>
        <bgColor theme="7"/>
      </patternFill>
    </fill>
    <fill>
      <patternFill patternType="solid">
        <fgColor rgb="FF1F6B35"/>
      </patternFill>
    </fill>
    <fill>
      <patternFill patternType="solid">
        <fgColor rgb="FF1565C0"/>
      </patternFill>
    </fill>
    <fill>
      <patternFill patternType="solid">
        <fgColor rgb="FF1976D2"/>
      </patternFill>
    </fill>
    <fill>
      <patternFill patternType="solid">
        <fgColor rgb="FFF5F5F5"/>
      </patternFill>
    </fill>
    <fill>
      <patternFill patternType="solid">
        <fgColor rgb="FFE3F2FD"/>
      </patternFill>
    </fill>
    <fill>
      <patternFill patternType="solid">
        <fgColor rgb="FF6A1B9A"/>
      </patternFill>
    </fill>
    <fill>
      <patternFill patternType="solid">
        <fgColor rgb="FFF3E5F5"/>
      </patternFill>
    </fill>
    <fill>
      <patternFill patternType="solid">
        <fgColor rgb="FFFFF9C4"/>
      </patternFill>
    </fill>
    <fill>
      <patternFill patternType="solid">
        <fgColor rgb="FF2E7D32"/>
      </patternFill>
    </fill>
    <fill>
      <patternFill patternType="solid">
        <fgColor rgb="FFEDE7F6"/>
      </patternFill>
    </fill>
    <fill>
      <patternFill patternType="solid">
        <fgColor rgb="FFFFF9C4"/>
      </patternFill>
    </fill>
    <fill>
      <patternFill patternType="solid">
        <fgColor rgb="FFF5F5F5"/>
      </patternFill>
    </fill>
    <fill>
      <patternFill patternType="solid">
        <fgColor rgb="FFE3F2FD"/>
      </patternFill>
    </fill>
    <fill>
      <patternFill patternType="solid">
        <fgColor rgb="FFEDE7F6"/>
      </patternFill>
    </fill>
    <fill>
      <patternFill patternType="solid">
        <fgColor rgb="FFFFF9C4"/>
      </patternFill>
    </fill>
    <fill>
      <patternFill patternType="solid">
        <fgColor rgb="FFF5F5F5"/>
      </patternFill>
    </fill>
    <fill>
      <patternFill patternType="solid">
        <fgColor rgb="FFE3F2FD"/>
      </patternFill>
    </fill>
    <fill>
      <patternFill patternType="solid">
        <fgColor rgb="FFEDE7F6"/>
      </patternFill>
    </fill>
    <fill>
      <patternFill patternType="solid">
        <fgColor rgb="FF7B1FA2"/>
      </patternFill>
    </fill>
    <fill>
      <patternFill patternType="solid">
        <fgColor rgb="FFFFF9C4"/>
      </patternFill>
    </fill>
    <fill>
      <patternFill patternType="solid">
        <fgColor rgb="FFF5F5F5"/>
      </patternFill>
    </fill>
    <fill>
      <patternFill patternType="solid">
        <fgColor rgb="FFE3F2FD"/>
      </patternFill>
    </fill>
    <fill>
      <patternFill patternType="solid">
        <fgColor rgb="FFEDE7F6"/>
      </patternFill>
    </fill>
    <fill>
      <patternFill patternType="solid">
        <fgColor rgb="FFFFFFFF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/>
      <bottom style="thin">
        <color rgb="FFCCCCCC"/>
      </bottom>
      <diagonal/>
    </border>
  </borders>
  <cellStyleXfs count="1">
    <xf numFmtId="0" fontId="0" fillId="0" borderId="0"/>
  </cellStyleXfs>
  <cellXfs count="69">
    <xf numFmtId="0" fontId="0" fillId="0" borderId="0" xfId="0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pivotButton="1" applyFon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3" fontId="0" fillId="0" borderId="0" xfId="0" applyNumberFormat="1"/>
    <xf numFmtId="3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left"/>
    </xf>
    <xf numFmtId="14" fontId="0" fillId="2" borderId="2" xfId="0" applyNumberFormat="1" applyFill="1" applyBorder="1" applyAlignment="1">
      <alignment horizontal="left"/>
    </xf>
    <xf numFmtId="14" fontId="0" fillId="3" borderId="3" xfId="0" applyNumberFormat="1" applyFill="1" applyBorder="1" applyAlignment="1">
      <alignment horizontal="left"/>
    </xf>
    <xf numFmtId="164" fontId="0" fillId="0" borderId="0" xfId="0" applyNumberFormat="1" applyAlignment="1">
      <alignment horizontal="center"/>
    </xf>
    <xf numFmtId="0" fontId="7" fillId="8" borderId="4" xfId="0" applyFont="1" applyFill="1" applyBorder="1" applyAlignment="1">
      <alignment horizontal="left" vertical="center"/>
    </xf>
    <xf numFmtId="3" fontId="8" fillId="9" borderId="4" xfId="0" applyNumberFormat="1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left" vertical="center"/>
    </xf>
    <xf numFmtId="3" fontId="7" fillId="0" borderId="4" xfId="0" applyNumberFormat="1" applyFont="1" applyBorder="1" applyAlignment="1">
      <alignment horizontal="center"/>
    </xf>
    <xf numFmtId="0" fontId="6" fillId="7" borderId="0" xfId="0" applyFont="1" applyFill="1" applyAlignment="1">
      <alignment horizontal="left" vertical="center"/>
    </xf>
    <xf numFmtId="3" fontId="6" fillId="7" borderId="0" xfId="0" applyNumberFormat="1" applyFont="1" applyFill="1" applyAlignment="1">
      <alignment horizontal="center" vertical="center"/>
    </xf>
    <xf numFmtId="3" fontId="11" fillId="9" borderId="4" xfId="0" applyNumberFormat="1" applyFont="1" applyFill="1" applyBorder="1" applyAlignment="1">
      <alignment horizontal="center"/>
    </xf>
    <xf numFmtId="3" fontId="12" fillId="14" borderId="4" xfId="0" applyNumberFormat="1" applyFont="1" applyFill="1" applyBorder="1" applyAlignment="1">
      <alignment horizontal="center"/>
    </xf>
    <xf numFmtId="165" fontId="10" fillId="12" borderId="4" xfId="0" applyNumberFormat="1" applyFont="1" applyFill="1" applyBorder="1" applyAlignment="1">
      <alignment horizontal="center" vertical="center"/>
    </xf>
    <xf numFmtId="165" fontId="15" fillId="15" borderId="5" xfId="0" applyNumberFormat="1" applyFont="1" applyFill="1" applyBorder="1" applyAlignment="1">
      <alignment horizontal="center" vertical="center"/>
    </xf>
    <xf numFmtId="165" fontId="14" fillId="12" borderId="4" xfId="0" applyNumberFormat="1" applyFont="1" applyFill="1" applyBorder="1" applyAlignment="1">
      <alignment horizontal="center" vertical="center"/>
    </xf>
    <xf numFmtId="0" fontId="7" fillId="16" borderId="5" xfId="0" applyFont="1" applyFill="1" applyBorder="1" applyAlignment="1">
      <alignment horizontal="left" vertical="center"/>
    </xf>
    <xf numFmtId="3" fontId="11" fillId="17" borderId="5" xfId="0" applyNumberFormat="1" applyFont="1" applyFill="1" applyBorder="1" applyAlignment="1">
      <alignment horizontal="center"/>
    </xf>
    <xf numFmtId="3" fontId="16" fillId="18" borderId="5" xfId="0" applyNumberFormat="1" applyFont="1" applyFill="1" applyBorder="1" applyAlignment="1">
      <alignment horizontal="center"/>
    </xf>
    <xf numFmtId="3" fontId="7" fillId="0" borderId="5" xfId="0" applyNumberFormat="1" applyFont="1" applyBorder="1" applyAlignment="1">
      <alignment horizontal="center"/>
    </xf>
    <xf numFmtId="165" fontId="17" fillId="19" borderId="6" xfId="0" applyNumberFormat="1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left" vertical="center"/>
    </xf>
    <xf numFmtId="3" fontId="11" fillId="21" borderId="6" xfId="0" applyNumberFormat="1" applyFont="1" applyFill="1" applyBorder="1" applyAlignment="1">
      <alignment horizontal="center"/>
    </xf>
    <xf numFmtId="3" fontId="18" fillId="22" borderId="6" xfId="0" applyNumberFormat="1" applyFont="1" applyFill="1" applyBorder="1" applyAlignment="1">
      <alignment horizontal="center"/>
    </xf>
    <xf numFmtId="3" fontId="7" fillId="0" borderId="6" xfId="0" applyNumberFormat="1" applyFont="1" applyBorder="1" applyAlignment="1">
      <alignment horizontal="center"/>
    </xf>
    <xf numFmtId="165" fontId="19" fillId="24" borderId="7" xfId="0" applyNumberFormat="1" applyFont="1" applyFill="1" applyBorder="1" applyAlignment="1">
      <alignment horizontal="center" vertical="center"/>
    </xf>
    <xf numFmtId="0" fontId="7" fillId="25" borderId="7" xfId="0" applyFont="1" applyFill="1" applyBorder="1" applyAlignment="1">
      <alignment horizontal="left" vertical="center"/>
    </xf>
    <xf numFmtId="3" fontId="11" fillId="26" borderId="7" xfId="0" applyNumberFormat="1" applyFont="1" applyFill="1" applyBorder="1" applyAlignment="1">
      <alignment horizontal="center"/>
    </xf>
    <xf numFmtId="3" fontId="20" fillId="27" borderId="7" xfId="0" applyNumberFormat="1" applyFont="1" applyFill="1" applyBorder="1" applyAlignment="1">
      <alignment horizontal="center"/>
    </xf>
    <xf numFmtId="3" fontId="7" fillId="0" borderId="7" xfId="0" applyNumberFormat="1" applyFont="1" applyBorder="1" applyAlignment="1">
      <alignment horizontal="center"/>
    </xf>
    <xf numFmtId="3" fontId="7" fillId="28" borderId="7" xfId="0" applyNumberFormat="1" applyFont="1" applyFill="1" applyBorder="1" applyAlignment="1">
      <alignment horizontal="center"/>
    </xf>
    <xf numFmtId="0" fontId="5" fillId="10" borderId="8" xfId="0" applyFont="1" applyFill="1" applyBorder="1" applyAlignment="1">
      <alignment vertical="center" wrapText="1"/>
    </xf>
    <xf numFmtId="0" fontId="21" fillId="0" borderId="7" xfId="0" applyFont="1" applyBorder="1" applyAlignment="1">
      <alignment horizontal="center"/>
    </xf>
    <xf numFmtId="0" fontId="22" fillId="13" borderId="0" xfId="0" applyFont="1" applyFill="1" applyAlignment="1">
      <alignment horizontal="center" vertical="center" wrapText="1"/>
    </xf>
    <xf numFmtId="0" fontId="25" fillId="23" borderId="7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8" fillId="25" borderId="7" xfId="0" applyFont="1" applyFill="1" applyBorder="1" applyAlignment="1">
      <alignment horizontal="left" vertical="center"/>
    </xf>
    <xf numFmtId="166" fontId="0" fillId="0" borderId="0" xfId="0" applyNumberFormat="1"/>
    <xf numFmtId="2" fontId="10" fillId="12" borderId="4" xfId="0" applyNumberFormat="1" applyFont="1" applyFill="1" applyBorder="1" applyAlignment="1">
      <alignment horizontal="center" vertical="center"/>
    </xf>
    <xf numFmtId="2" fontId="6" fillId="7" borderId="0" xfId="0" applyNumberFormat="1" applyFont="1" applyFill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24" fillId="0" borderId="0" xfId="0" applyFont="1"/>
    <xf numFmtId="0" fontId="23" fillId="6" borderId="0" xfId="0" applyFont="1" applyFill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0" fillId="0" borderId="0" xfId="0"/>
    <xf numFmtId="0" fontId="27" fillId="0" borderId="0" xfId="0" applyFont="1" applyAlignment="1">
      <alignment vertical="center" wrapText="1"/>
    </xf>
    <xf numFmtId="0" fontId="23" fillId="5" borderId="0" xfId="0" applyFont="1" applyFill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</cellXfs>
  <cellStyles count="1">
    <cellStyle name="Normal" xfId="0" builtinId="0"/>
  </cellStyles>
  <dxfs count="29">
    <dxf>
      <font>
        <strike/>
        <color theme="9" tint="-0.24994659260841701"/>
      </font>
      <fill>
        <patternFill>
          <bgColor theme="9" tint="0.59996337778862885"/>
        </patternFill>
      </fill>
      <border>
        <left/>
        <right/>
        <top/>
        <bottom/>
      </border>
    </dxf>
    <dxf>
      <font>
        <strike val="0"/>
        <color rgb="FFC00000"/>
      </font>
      <fill>
        <patternFill>
          <bgColor rgb="FFF86042"/>
        </patternFill>
      </fill>
    </dxf>
    <dxf>
      <font>
        <color rgb="FFFF0000"/>
      </font>
    </dxf>
    <dxf>
      <font>
        <color theme="8"/>
      </font>
    </dxf>
    <dxf>
      <font>
        <sz val="12"/>
      </font>
    </dxf>
    <dxf>
      <numFmt numFmtId="3" formatCode="#,##0"/>
    </dxf>
    <dxf>
      <font>
        <sz val="11"/>
      </font>
    </dxf>
    <dxf>
      <font>
        <sz val="12"/>
      </font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alignment horizontal="center" vertical="center"/>
    </dxf>
    <dxf>
      <alignment horizontal="center" vertical="center"/>
    </dxf>
    <dxf>
      <numFmt numFmtId="1" formatCode="0"/>
      <alignment horizontal="center" vertical="bottom"/>
    </dxf>
    <dxf>
      <numFmt numFmtId="19" formatCode="dd/mm/yyyy"/>
      <alignment horizontal="center" vertical="bottom"/>
    </dxf>
    <dxf>
      <font>
        <strike val="0"/>
        <outline val="0"/>
        <shadow val="0"/>
        <vertAlign val="baseline"/>
        <sz val="12"/>
        <color theme="1"/>
        <name val="Aptos Narrow"/>
        <family val="2"/>
        <scheme val="minor"/>
      </font>
    </dxf>
    <dxf>
      <font>
        <strike val="0"/>
        <u val="none"/>
        <color auto="1"/>
      </font>
      <numFmt numFmtId="0" formatCode="General"/>
      <fill>
        <patternFill>
          <bgColor theme="8"/>
        </patternFill>
      </fill>
    </dxf>
    <dxf>
      <font>
        <b/>
      </font>
    </dxf>
    <dxf>
      <font>
        <b/>
        <color rgb="FFFF0000"/>
      </font>
    </dxf>
    <dxf>
      <font>
        <strike/>
        <color theme="9" tint="-0.24994659260841701"/>
      </font>
      <fill>
        <patternFill>
          <bgColor theme="9" tint="0.59996337778862885"/>
        </patternFill>
      </fill>
      <border>
        <left/>
        <right/>
        <top/>
        <bottom/>
      </border>
    </dxf>
    <dxf>
      <font>
        <strike val="0"/>
        <color theme="5" tint="-0.499984740745262"/>
      </font>
      <fill>
        <patternFill patternType="solid">
          <fgColor auto="1"/>
          <bgColor rgb="FFFFFF99"/>
        </patternFill>
      </fill>
    </dxf>
    <dxf>
      <font>
        <strike val="0"/>
        <color rgb="FFC00000"/>
      </font>
      <fill>
        <patternFill>
          <bgColor rgb="FFF86042"/>
        </patternFill>
      </fill>
    </dxf>
    <dxf>
      <numFmt numFmtId="19" formatCode="dd/mm/yyyy"/>
    </dxf>
    <dxf>
      <numFmt numFmtId="19" formatCode="dd/mm/yyyy"/>
      <alignment horizontal="center" vertical="bottom"/>
    </dxf>
    <dxf>
      <numFmt numFmtId="3" formatCode="#,##0"/>
    </dxf>
    <dxf>
      <alignment horizontal="left"/>
    </dxf>
    <dxf>
      <numFmt numFmtId="3" formatCode="#,##0"/>
    </dxf>
    <dxf>
      <numFmt numFmtId="3" formatCode="#,##0"/>
      <alignment horizontal="center" vertical="bottom"/>
    </dxf>
    <dxf>
      <numFmt numFmtId="19" formatCode="dd/mm/yyyy"/>
      <alignment horizontal="center"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pivotSource>
    <c:name>[producao_com_MRP (6) - CRP atualizado_1.xlsm]Painel de Produção!Tabela dinâmica1</c:name>
    <c:fmtId val="47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tint val="94000"/>
                  <a:satMod val="103000"/>
                  <a:lumMod val="102000"/>
                </a:schemeClr>
              </a:gs>
              <a:gs pos="50000">
                <a:schemeClr val="accent4">
                  <a:shade val="100000"/>
                  <a:satMod val="110000"/>
                  <a:lumMod val="100000"/>
                </a:schemeClr>
              </a:gs>
              <a:gs pos="100000">
                <a:schemeClr val="accent4">
                  <a:shade val="78000"/>
                  <a:satMod val="120000"/>
                  <a:lumMod val="99000"/>
                </a:schemeClr>
              </a:gs>
            </a:gsLst>
            <a:lin ang="5400000" scaled="0"/>
          </a:gradFill>
          <a:ln>
            <a:noFill/>
            <a:prstDash val="solid"/>
          </a:ln>
        </c:spPr>
        <c:marker>
          <c:symbol val="none"/>
        </c:marker>
        <c:dLbl>
          <c:idx val="0"/>
          <c:spPr>
            <a:noFill/>
            <a:ln>
              <a:noFill/>
              <a:prstDash val="solid"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'Painel de Produção'!$B$1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4000"/>
                    <a:satMod val="103000"/>
                    <a:lumMod val="102000"/>
                  </a:schemeClr>
                </a:gs>
                <a:gs pos="50000">
                  <a:schemeClr val="accent4">
                    <a:shade val="100000"/>
                    <a:satMod val="110000"/>
                    <a:lumMod val="100000"/>
                  </a:schemeClr>
                </a:gs>
                <a:gs pos="100000">
                  <a:schemeClr val="accent4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'Painel de Produção'!$A$2:$A$24</c:f>
              <c:strCache>
                <c:ptCount val="22"/>
                <c:pt idx="0">
                  <c:v>Dietanolamina  85%</c:v>
                </c:pt>
                <c:pt idx="1">
                  <c:v>LPB</c:v>
                </c:pt>
                <c:pt idx="2">
                  <c:v>brancol 30%</c:v>
                </c:pt>
                <c:pt idx="3">
                  <c:v>clorito solução</c:v>
                </c:pt>
                <c:pt idx="4">
                  <c:v>pac reduzido</c:v>
                </c:pt>
                <c:pt idx="5">
                  <c:v>Acido acetico 75%</c:v>
                </c:pt>
                <c:pt idx="6">
                  <c:v>Antiespumante</c:v>
                </c:pt>
                <c:pt idx="7">
                  <c:v>Bac 40</c:v>
                </c:pt>
                <c:pt idx="8">
                  <c:v>detergente clorado</c:v>
                </c:pt>
                <c:pt idx="9">
                  <c:v>Detergente neutro</c:v>
                </c:pt>
                <c:pt idx="10">
                  <c:v>Less solução</c:v>
                </c:pt>
                <c:pt idx="11">
                  <c:v>avanfloc 300P</c:v>
                </c:pt>
                <c:pt idx="12">
                  <c:v>Avanil (butil glicol)</c:v>
                </c:pt>
                <c:pt idx="13">
                  <c:v>Avamid-9 (amida 90)</c:v>
                </c:pt>
                <c:pt idx="14">
                  <c:v>rcn</c:v>
                </c:pt>
                <c:pt idx="15">
                  <c:v>Base de betaina1</c:v>
                </c:pt>
                <c:pt idx="16">
                  <c:v>Hidroxido de sodio 25%</c:v>
                </c:pt>
                <c:pt idx="17">
                  <c:v>Avanclor 80</c:v>
                </c:pt>
                <c:pt idx="18">
                  <c:v>clorito 31%</c:v>
                </c:pt>
                <c:pt idx="19">
                  <c:v>Avamid-6 18-22(amida 60)</c:v>
                </c:pt>
                <c:pt idx="20">
                  <c:v>Avanless 27</c:v>
                </c:pt>
                <c:pt idx="21">
                  <c:v>Avanbeta-30</c:v>
                </c:pt>
              </c:strCache>
            </c:strRef>
          </c:cat>
          <c:val>
            <c:numRef>
              <c:f>'Painel de Produção'!$B$2:$B$24</c:f>
              <c:numCache>
                <c:formatCode>#,##0</c:formatCode>
                <c:ptCount val="22"/>
                <c:pt idx="0">
                  <c:v>500</c:v>
                </c:pt>
                <c:pt idx="1">
                  <c:v>500</c:v>
                </c:pt>
                <c:pt idx="2">
                  <c:v>650</c:v>
                </c:pt>
                <c:pt idx="3">
                  <c:v>1200</c:v>
                </c:pt>
                <c:pt idx="4">
                  <c:v>1200</c:v>
                </c:pt>
                <c:pt idx="5">
                  <c:v>1390</c:v>
                </c:pt>
                <c:pt idx="6">
                  <c:v>1900</c:v>
                </c:pt>
                <c:pt idx="7">
                  <c:v>2000</c:v>
                </c:pt>
                <c:pt idx="8">
                  <c:v>2000</c:v>
                </c:pt>
                <c:pt idx="9">
                  <c:v>3000</c:v>
                </c:pt>
                <c:pt idx="10">
                  <c:v>4200</c:v>
                </c:pt>
                <c:pt idx="11">
                  <c:v>8750</c:v>
                </c:pt>
                <c:pt idx="12">
                  <c:v>9900</c:v>
                </c:pt>
                <c:pt idx="13">
                  <c:v>10000</c:v>
                </c:pt>
                <c:pt idx="14">
                  <c:v>11600</c:v>
                </c:pt>
                <c:pt idx="15">
                  <c:v>17000</c:v>
                </c:pt>
                <c:pt idx="16">
                  <c:v>17500</c:v>
                </c:pt>
                <c:pt idx="17">
                  <c:v>23000</c:v>
                </c:pt>
                <c:pt idx="18">
                  <c:v>25000</c:v>
                </c:pt>
                <c:pt idx="19">
                  <c:v>30000</c:v>
                </c:pt>
                <c:pt idx="20">
                  <c:v>41600</c:v>
                </c:pt>
                <c:pt idx="21">
                  <c:v>74100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2-4F36-B09D-3140BA861C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925305344"/>
        <c:axId val="1442986480"/>
      </c:barChart>
      <c:catAx>
        <c:axId val="925305344"/>
        <c:scaling>
          <c:orientation val="minMax"/>
        </c:scaling>
        <c:delete val="0"/>
        <c:axPos val="l"/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2986480"/>
        <c:crosses val="autoZero"/>
        <c:auto val="1"/>
        <c:lblAlgn val="ctr"/>
        <c:lblOffset val="100"/>
        <c:noMultiLvlLbl val="0"/>
      </c:catAx>
      <c:valAx>
        <c:axId val="14429864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5305344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137583</xdr:colOff>
      <xdr:row>7</xdr:row>
      <xdr:rowOff>148166</xdr:rowOff>
    </xdr:from>
    <xdr:to>
      <xdr:col>13</xdr:col>
      <xdr:colOff>11206</xdr:colOff>
      <xdr:row>52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176493</xdr:colOff>
      <xdr:row>0</xdr:row>
      <xdr:rowOff>53228</xdr:rowOff>
    </xdr:from>
    <xdr:to>
      <xdr:col>12</xdr:col>
      <xdr:colOff>616324</xdr:colOff>
      <xdr:row>7</xdr:row>
      <xdr:rowOff>68916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C3461DC7-02CC-E3D4-FE46-12BB8665BB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86493" y="53228"/>
              <a:ext cx="10233772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2</xdr:row>
      <xdr:rowOff>38100</xdr:rowOff>
    </xdr:from>
    <xdr:to>
      <xdr:col>9</xdr:col>
      <xdr:colOff>285750</xdr:colOff>
      <xdr:row>10</xdr:row>
      <xdr:rowOff>180976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8AFD464-C8B3-4890-95EC-6DC9543E0E80}"/>
            </a:ext>
          </a:extLst>
        </xdr:cNvPr>
        <xdr:cNvSpPr/>
      </xdr:nvSpPr>
      <xdr:spPr>
        <a:xfrm>
          <a:off x="6743700" y="438150"/>
          <a:ext cx="2562225" cy="1666876"/>
        </a:xfrm>
        <a:prstGeom prst="roundRect">
          <a:avLst/>
        </a:prstGeom>
        <a:solidFill>
          <a:schemeClr val="bg2"/>
        </a:solidFill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16000" tIns="126000" rIns="216000" bIns="126000" rtlCol="0" anchor="t"/>
        <a:lstStyle/>
        <a:p>
          <a:pPr algn="l"/>
          <a:r>
            <a:rPr lang="pt-BR" sz="1200" b="1">
              <a:solidFill>
                <a:schemeClr val="tx1"/>
              </a:solidFill>
            </a:rPr>
            <a:t>MÉDIA</a:t>
          </a:r>
          <a:r>
            <a:rPr lang="pt-BR" sz="1200" b="1" baseline="0">
              <a:solidFill>
                <a:schemeClr val="accent6"/>
              </a:solidFill>
            </a:rPr>
            <a:t> </a:t>
          </a:r>
          <a:r>
            <a:rPr lang="pt-BR" sz="1200" b="1">
              <a:solidFill>
                <a:schemeClr val="tx1"/>
              </a:solidFill>
              <a:latin typeface="+mn-lt"/>
              <a:ea typeface="+mn-ea"/>
              <a:cs typeface="+mn-cs"/>
            </a:rPr>
            <a:t>MENSAL DE PRODUÇÃO</a:t>
          </a:r>
        </a:p>
        <a:p>
          <a:pPr algn="l"/>
          <a:endParaRPr lang="pt-BR" sz="1100" baseline="0">
            <a:solidFill>
              <a:schemeClr val="accent6"/>
            </a:solidFill>
          </a:endParaRPr>
        </a:p>
        <a:p>
          <a:pPr algn="l"/>
          <a:r>
            <a:rPr lang="pt-BR" sz="1100" baseline="0">
              <a:solidFill>
                <a:sysClr val="windowText" lastClr="000000"/>
              </a:solidFill>
            </a:rPr>
            <a:t>Produção média mensal do produto considerando todo o período desde a primeira produção registrada.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vanz\OneDrive\Desktop\Lixeira\Controle_de_Materia_prima.xlsx" TargetMode="External"/><Relationship Id="rId1" Type="http://schemas.openxmlformats.org/officeDocument/2006/relationships/externalLinkPath" Target="Controle_de_Materia_pr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O_MP"/>
      <sheetName val="CONTAINER"/>
      <sheetName val="TAMBOR"/>
      <sheetName val="TANQUE"/>
      <sheetName val="BOMBONA"/>
      <sheetName val="SACARIA"/>
      <sheetName val="ACABADO"/>
    </sheetNames>
    <sheetDataSet>
      <sheetData sheetId="0">
        <row r="1">
          <cell r="A1" t="str">
            <v>RESUMO DE ESTOQUE - MATERIA-PRIMA</v>
          </cell>
          <cell r="B1"/>
          <cell r="C1"/>
        </row>
        <row r="2">
          <cell r="A2" t="str">
            <v>Atualizado automaticamente a partir das abas CONTAINER, TAMBOR, TANQUE, BOMBONA e SACARIA</v>
          </cell>
          <cell r="B2"/>
          <cell r="C2"/>
        </row>
        <row r="4">
          <cell r="A4" t="str">
            <v>NOME_MP</v>
          </cell>
          <cell r="B4" t="str">
            <v>CODIGO</v>
          </cell>
          <cell r="C4" t="str">
            <v>ESTOQUE TOTAL (kg)</v>
          </cell>
        </row>
        <row r="5">
          <cell r="A5" t="str">
            <v>acido cresilico</v>
          </cell>
          <cell r="B5" t="str">
            <v>N/A</v>
          </cell>
          <cell r="C5">
            <v>0</v>
          </cell>
        </row>
        <row r="6">
          <cell r="A6" t="str">
            <v>acrylux</v>
          </cell>
          <cell r="B6" t="str">
            <v>MP.0000.20.0</v>
          </cell>
          <cell r="C6">
            <v>0</v>
          </cell>
        </row>
        <row r="7">
          <cell r="A7" t="str">
            <v>alcool cetoestearilico</v>
          </cell>
          <cell r="B7" t="str">
            <v>MP.0000.28.0</v>
          </cell>
          <cell r="C7">
            <v>91</v>
          </cell>
        </row>
        <row r="8">
          <cell r="A8" t="str">
            <v>antiespumante silicone mp</v>
          </cell>
          <cell r="B8" t="str">
            <v>MP.0000.2213.0</v>
          </cell>
          <cell r="C8">
            <v>0</v>
          </cell>
        </row>
        <row r="9">
          <cell r="A9" t="str">
            <v>antiespumante vegetal mp</v>
          </cell>
          <cell r="B9" t="str">
            <v>MP.0000.43.47</v>
          </cell>
          <cell r="C9">
            <v>1000</v>
          </cell>
        </row>
        <row r="10">
          <cell r="A10" t="str">
            <v>carnauba</v>
          </cell>
          <cell r="B10" t="str">
            <v>MP.0000.73.0</v>
          </cell>
          <cell r="C10">
            <v>25</v>
          </cell>
        </row>
        <row r="11">
          <cell r="A11" t="str">
            <v>clorito 40</v>
          </cell>
          <cell r="B11" t="str">
            <v>MP.1908.994.40</v>
          </cell>
          <cell r="C11">
            <v>27125</v>
          </cell>
        </row>
        <row r="12">
          <cell r="A12" t="str">
            <v>glicerina usp</v>
          </cell>
          <cell r="B12" t="str">
            <v>MP.0000.1734.99</v>
          </cell>
          <cell r="C12">
            <v>30030</v>
          </cell>
        </row>
        <row r="13">
          <cell r="A13" t="str">
            <v>metilato 30%</v>
          </cell>
          <cell r="B13" t="str">
            <v>MP.1289.185.30</v>
          </cell>
          <cell r="C13">
            <v>620</v>
          </cell>
        </row>
        <row r="14">
          <cell r="A14" t="str">
            <v>oleo de mamona</v>
          </cell>
          <cell r="B14" t="str">
            <v>MP.0000.193.0</v>
          </cell>
          <cell r="C14">
            <v>0</v>
          </cell>
        </row>
        <row r="15">
          <cell r="A15" t="str">
            <v>parafina macro</v>
          </cell>
          <cell r="B15" t="str">
            <v>MP.0000.198.0</v>
          </cell>
          <cell r="C15">
            <v>0</v>
          </cell>
        </row>
        <row r="16">
          <cell r="A16" t="str">
            <v>bac 80</v>
          </cell>
          <cell r="B16" t="str">
            <v>MP.2920.47.80</v>
          </cell>
          <cell r="C16">
            <v>220</v>
          </cell>
        </row>
        <row r="17">
          <cell r="A17" t="str">
            <v>monocloro acetato de sodio</v>
          </cell>
          <cell r="B17" t="str">
            <v>MP.0000.1097.0</v>
          </cell>
          <cell r="C17">
            <v>1000</v>
          </cell>
        </row>
        <row r="18">
          <cell r="A18" t="str">
            <v>oleo de côco</v>
          </cell>
          <cell r="B18" t="str">
            <v>MP.0000.201.0</v>
          </cell>
          <cell r="C18">
            <v>3600</v>
          </cell>
        </row>
        <row r="19">
          <cell r="A19" t="str">
            <v>alcool etilico 99</v>
          </cell>
          <cell r="B19" t="str">
            <v>MP.1170.1774.99</v>
          </cell>
          <cell r="C19">
            <v>4190</v>
          </cell>
        </row>
        <row r="20">
          <cell r="A20" t="str">
            <v>dmapa</v>
          </cell>
          <cell r="B20" t="str">
            <v>MP.0000.1098.0</v>
          </cell>
          <cell r="C20">
            <v>15279</v>
          </cell>
        </row>
        <row r="21">
          <cell r="A21" t="str">
            <v>oleo de palmiste rbd</v>
          </cell>
          <cell r="B21" t="str">
            <v>MP.0000.194.0</v>
          </cell>
          <cell r="C21">
            <v>52818</v>
          </cell>
        </row>
        <row r="22">
          <cell r="A22" t="str">
            <v>glicerina branca bi destilada</v>
          </cell>
          <cell r="B22" t="str">
            <v>MP.0000.153.99</v>
          </cell>
          <cell r="C22">
            <v>11098</v>
          </cell>
        </row>
        <row r="23">
          <cell r="A23" t="str">
            <v>hidroxido de potassio solido</v>
          </cell>
          <cell r="B23" t="str">
            <v>1813.1077.99</v>
          </cell>
          <cell r="C23">
            <v>4025</v>
          </cell>
        </row>
        <row r="24">
          <cell r="A24" t="str">
            <v>less 70</v>
          </cell>
          <cell r="B24" t="str">
            <v>MP.0000.173.70</v>
          </cell>
          <cell r="C24">
            <v>19160</v>
          </cell>
        </row>
        <row r="25">
          <cell r="A25" t="str">
            <v>butil glicol</v>
          </cell>
          <cell r="B25" t="str">
            <v>MP.2810.70.99</v>
          </cell>
          <cell r="C25">
            <v>22500</v>
          </cell>
        </row>
        <row r="26">
          <cell r="A26" t="str">
            <v>clorito 31</v>
          </cell>
          <cell r="B26" t="str">
            <v>MP.1908.994.31</v>
          </cell>
          <cell r="C26">
            <v>25000</v>
          </cell>
        </row>
        <row r="27">
          <cell r="A27" t="str">
            <v>dietanolamina 99</v>
          </cell>
          <cell r="B27" t="str">
            <v>MP.0000.104.99</v>
          </cell>
          <cell r="C27">
            <v>53560</v>
          </cell>
        </row>
        <row r="28">
          <cell r="A28" t="str">
            <v>agua desmineralizada</v>
          </cell>
          <cell r="B28" t="str">
            <v>MP.0000.1939</v>
          </cell>
          <cell r="C28">
            <v>500000</v>
          </cell>
        </row>
        <row r="29">
          <cell r="A29" t="str">
            <v>poliamina</v>
          </cell>
          <cell r="B29" t="str">
            <v>D.0000.2070.0</v>
          </cell>
          <cell r="C29">
            <v>7</v>
          </cell>
        </row>
        <row r="30">
          <cell r="A30" t="str">
            <v>base de betaina</v>
          </cell>
          <cell r="B30" t="str">
            <v>MP.0000.1104.0</v>
          </cell>
          <cell r="C30">
            <v>0</v>
          </cell>
        </row>
        <row r="31">
          <cell r="A31" t="str">
            <v>colorfloc 500</v>
          </cell>
          <cell r="B31" t="str">
            <v>2116.500</v>
          </cell>
          <cell r="C31">
            <v>550</v>
          </cell>
        </row>
        <row r="32">
          <cell r="A32" t="str">
            <v>aluminato de sodio</v>
          </cell>
          <cell r="B32" t="str">
            <v>1819.2105.19</v>
          </cell>
          <cell r="C32">
            <v>240</v>
          </cell>
        </row>
        <row r="33">
          <cell r="A33" t="str">
            <v>acido acetico 99%</v>
          </cell>
          <cell r="B33" t="str">
            <v>2789.4.99</v>
          </cell>
          <cell r="C33">
            <v>70000</v>
          </cell>
        </row>
        <row r="34">
          <cell r="A34" t="str">
            <v>acido graxo de coco</v>
          </cell>
          <cell r="B34" t="str">
            <v>MP.0000.931.0</v>
          </cell>
          <cell r="C34">
            <v>83</v>
          </cell>
        </row>
        <row r="35">
          <cell r="A35" t="str">
            <v>alcool polivinilico</v>
          </cell>
          <cell r="B35" t="str">
            <v>MP.0000.27.99</v>
          </cell>
          <cell r="C35">
            <v>0</v>
          </cell>
        </row>
        <row r="36">
          <cell r="A36" t="str">
            <v>formaldeido 37%</v>
          </cell>
          <cell r="B36" t="str">
            <v>MP.2209.150.37</v>
          </cell>
          <cell r="C36">
            <v>13200</v>
          </cell>
        </row>
        <row r="37">
          <cell r="A37" t="str">
            <v>less 27</v>
          </cell>
          <cell r="B37" t="str">
            <v>I.0000.173.27</v>
          </cell>
          <cell r="C37">
            <v>18320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anzi quimica" refreshedDate="46195.54899826389" createdVersion="8" refreshedVersion="8" minRefreshableVersion="3" recordCount="1172" xr:uid="{00000000-000A-0000-FFFF-FFFF10000000}">
  <cacheSource type="worksheet">
    <worksheetSource name="tb_Registro_Producao"/>
  </cacheSource>
  <cacheFields count="13">
    <cacheField name="DATA" numFmtId="14">
      <sharedItems containsSemiMixedTypes="0" containsNonDate="0" containsDate="1" containsString="0" minDate="2025-06-02T00:00:00" maxDate="2026-06-23T00:00:00" count="238">
        <d v="2025-06-02T00:00:00"/>
        <d v="2025-06-23T00:00:00"/>
        <d v="2025-06-24T00:00:00"/>
        <d v="2025-06-25T00:00:00"/>
        <d v="2025-06-27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11T00:00:00"/>
        <d v="2025-08-12T00:00:00"/>
        <d v="2025-08-13T00:00:00"/>
        <d v="2025-08-14T00:00:00"/>
        <d v="2025-08-15T00:00:00"/>
        <d v="2025-08-18T00:00:00"/>
        <d v="2025-08-19T00:00:00"/>
        <d v="2025-08-20T00:00:00"/>
        <d v="2025-08-21T00:00:00"/>
        <d v="2025-08-22T00:00:00"/>
        <d v="2025-08-25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2T00:00:00"/>
        <d v="2025-09-15T00:00:00"/>
        <d v="2025-09-16T00:00:00"/>
        <d v="2025-09-17T00:00:00"/>
        <d v="2025-09-18T00:00:00"/>
        <d v="2025-09-19T00:00:00"/>
        <d v="2025-09-22T00:00:00"/>
        <d v="2025-09-23T00:00:00"/>
        <d v="2025-09-24T00:00:00"/>
        <d v="2025-09-25T00:00:00"/>
        <d v="2025-09-26T00:00:00"/>
        <d v="2025-09-29T00:00:00"/>
        <d v="2025-09-30T00:00:00"/>
        <d v="2025-10-01T00:00:00"/>
        <d v="2025-10-02T00:00:00"/>
        <d v="2025-10-06T00:00:00"/>
        <d v="2025-10-07T00:00:00"/>
        <d v="2025-10-08T00:00:00"/>
        <d v="2025-10-09T00:00:00"/>
        <d v="2025-10-10T00:00:00"/>
        <d v="2025-10-13T00:00:00"/>
        <d v="2025-10-14T00:00:00"/>
        <d v="2025-10-15T00:00:00"/>
        <d v="2025-10-16T00:00:00"/>
        <d v="2025-10-17T00:00:00"/>
        <d v="2025-10-20T00:00:00"/>
        <d v="2025-10-21T00:00:00"/>
        <d v="2025-10-22T00:00:00"/>
        <d v="2025-10-23T00:00:00"/>
        <d v="2025-10-24T00:00:00"/>
        <d v="2025-10-29T00:00:00"/>
        <d v="2025-10-30T00:00:00"/>
        <d v="2025-10-31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7T00:00:00"/>
        <d v="2025-11-18T00:00:00"/>
        <d v="2025-11-19T00:00:00"/>
        <d v="2025-11-21T00:00:00"/>
        <d v="2025-11-24T00:00:00"/>
        <d v="2025-11-25T00:00:00"/>
        <d v="2025-11-26T00:00:00"/>
        <d v="2025-12-02T00:00:00"/>
        <d v="2025-12-03T00:00:00"/>
        <d v="2025-12-04T00:00:00"/>
        <d v="2025-12-08T00:00:00"/>
        <d v="2025-12-09T00:00:00"/>
        <d v="2025-12-10T00:00:00"/>
        <d v="2025-12-12T00:00:00"/>
        <d v="2025-12-15T00:00:00"/>
        <d v="2025-12-16T00:00:00"/>
        <d v="2025-12-17T00:00:00"/>
        <d v="2025-12-18T00:00:00"/>
        <d v="2025-12-19T00:00:00"/>
        <d v="2025-12-22T00:00:00"/>
        <d v="2025-12-23T00:00:00"/>
        <d v="2025-12-29T00:00:00"/>
        <d v="2025-12-30T00:00:00"/>
        <d v="2026-01-05T00:00:00"/>
        <d v="2026-01-06T00:00:00"/>
        <d v="2026-01-07T00:00:00"/>
        <d v="2026-01-08T00:00:00"/>
        <d v="2026-01-09T00:00:00"/>
        <d v="2026-01-12T00:00:00"/>
        <d v="2026-01-13T00:00:00"/>
        <d v="2026-01-14T00:00:00"/>
        <d v="2026-01-15T00:00:00"/>
        <d v="2026-01-16T00:00:00"/>
        <d v="2026-01-19T00:00:00"/>
        <d v="2026-01-20T00:00:00"/>
        <d v="2026-01-21T00:00:00"/>
        <d v="2026-01-22T00:00:00"/>
        <d v="2026-01-23T00:00:00"/>
        <d v="2026-01-26T00:00:00"/>
        <d v="2026-01-27T00:00:00"/>
        <d v="2026-01-28T00:00:00"/>
        <d v="2026-01-29T00:00:00"/>
        <d v="2026-01-30T00:00:00"/>
        <d v="2026-01-31T00:00:00"/>
        <d v="2026-02-02T00:00:00"/>
        <d v="2026-02-03T00:00:00"/>
        <d v="2026-02-04T00:00:00"/>
        <d v="2026-02-05T00:00:00"/>
        <d v="2026-02-06T00:00:00"/>
        <d v="2026-02-09T00:00:00"/>
        <d v="2026-02-10T00:00:00"/>
        <d v="2026-02-12T00:00:00"/>
        <d v="2026-02-13T00:00:00"/>
        <d v="2026-02-14T00:00:00"/>
        <d v="2026-02-16T00:00:00"/>
        <d v="2026-02-18T00:00:00"/>
        <d v="2026-02-19T00:00:00"/>
        <d v="2026-02-20T00:00:00"/>
        <d v="2026-02-23T00:00:00"/>
        <d v="2026-02-24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09T00:00:00"/>
        <d v="2026-03-10T00:00:00"/>
        <d v="2026-03-11T00:00:00"/>
        <d v="2026-03-12T00:00:00"/>
        <d v="2026-03-13T00:00:00"/>
        <d v="2026-03-14T00:00:00"/>
        <d v="2026-03-16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2T00:00:00"/>
        <d v="2026-04-23T00:00:00"/>
        <d v="2026-04-24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11T00:00:00"/>
        <d v="2026-05-12T00:00:00"/>
        <d v="2026-05-14T00:00:00"/>
        <d v="2026-05-15T00:00:00"/>
        <d v="2026-05-18T00:00:00"/>
        <d v="2026-05-19T00:00:00"/>
        <d v="2026-05-20T00:00:00"/>
        <d v="2026-05-21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8T00:00:00"/>
        <d v="2026-06-19T00:00:00"/>
        <d v="2026-06-22T00:00:00"/>
      </sharedItems>
    </cacheField>
    <cacheField name="PRODUTO" numFmtId="0">
      <sharedItems containsBlank="1" count="54">
        <s v="Avamid-6 18-22(amida 60)"/>
        <s v="Detergente neutro"/>
        <s v="Avanbeta-30"/>
        <s v="Avanless 27"/>
        <s v="Avanclor 80"/>
        <s v="Bac 50"/>
        <s v="Hidroxido de sodio 50%"/>
        <s v="Avamid-6 22-24 (amida 60)"/>
        <s v="Avanpac 18%"/>
        <s v="Bac 40"/>
        <s v="Avanil (butil glicol)"/>
        <s v="Acido sulfurico 50%"/>
        <s v="Antiespumante"/>
        <s v="Acido sulfurico 65%"/>
        <s v="Cln 140"/>
        <s v="Avamid-9 (amida 90)"/>
        <s v="Avanpac 10%"/>
        <s v="Dietanolamina  85%"/>
        <s v="C 120"/>
        <s v="Base de betaina1"/>
        <s v="Hidroxido de sodio 32%"/>
        <s v="Less solução"/>
        <s v="Acido acetico 75%"/>
        <s v="Peroxido de hidrogenio 35%"/>
        <s v="Hidroxido de potassio solução"/>
        <s v="safe"/>
        <s v="sabão industrial"/>
        <s v="Peracetico 10%"/>
        <s v="pac reduzido"/>
        <s v="redutor de ph"/>
        <s v="alcool 96"/>
        <s v="avanfloc 18"/>
        <s v="acido fluossilicico"/>
        <s v="Antiespumante silicone"/>
        <s v="acido peracetico 5%"/>
        <s v="acido citrico"/>
        <s v="clorito 31%"/>
        <s v="rcn"/>
        <s v="brancol 30%"/>
        <s v="avancolor 500"/>
        <s v="detergente clorado"/>
        <s v="acido cloridrico 22%"/>
        <s v="solupan"/>
        <s v="acido peracetico 15%"/>
        <s v="LPB"/>
        <s v="acido sulfurico 40%"/>
        <s v="avanfloc 300P"/>
        <s v="acido acetico 70%"/>
        <s v="clorito solução"/>
        <s v="Hidroxido de sodio 25%"/>
        <s v="hidroxido de sodio 30%"/>
        <m u="1"/>
        <s v="teste" u="1"/>
        <s v="Dietanolamina 85%" u="1"/>
      </sharedItems>
    </cacheField>
    <cacheField name="Quantidade_Produzida_kg" numFmtId="1">
      <sharedItems containsMixedTypes="1" containsNumber="1" containsInteger="1" minValue="60" maxValue="50000"/>
    </cacheField>
    <cacheField name="Status" numFmtId="0">
      <sharedItems/>
    </cacheField>
    <cacheField name="QUALIDADE" numFmtId="0">
      <sharedItems containsBlank="1"/>
    </cacheField>
    <cacheField name="Hora_Inicio" numFmtId="0">
      <sharedItems containsNonDate="0" containsDate="1" containsString="0" containsBlank="1" minDate="2026-05-27T08:30:18" maxDate="2026-06-22T11:30:51"/>
    </cacheField>
    <cacheField name="Hora_Fim" numFmtId="0">
      <sharedItems containsNonDate="0" containsDate="1" containsString="0" containsBlank="1" minDate="2026-05-27T08:40:18" maxDate="2026-06-22T13:10:11"/>
    </cacheField>
    <cacheField name="Tempo_Total" numFmtId="0">
      <sharedItems containsBlank="1"/>
    </cacheField>
    <cacheField name="OBS" numFmtId="0">
      <sharedItems containsBlank="1"/>
    </cacheField>
    <cacheField name="tempo acumulado" numFmtId="0">
      <sharedItems containsString="0" containsBlank="1" containsNumber="1" minValue="186.01666666916572" maxValue="186.01666666916572"/>
    </cacheField>
    <cacheField name="Min_por_Kg" numFmtId="0">
      <sharedItems containsMixedTypes="1" containsNumber="1" minValue="0" maxValue="4.03"/>
    </cacheField>
    <cacheField name="Tempo_Total_Min" numFmtId="0">
      <sharedItems containsMixedTypes="1" containsNumber="1" containsInteger="1" minValue="0" maxValue="2447"/>
    </cacheField>
    <cacheField name="Ano_Mes" numFmtId="0">
      <sharedItems/>
    </cacheField>
  </cacheFields>
  <extLst>
    <ext xmlns:x14="http://schemas.microsoft.com/office/spreadsheetml/2009/9/main" uri="{725AE2AE-9491-48be-B2B4-4EB974FC3084}">
      <x14:pivotCacheDefinition pivotCacheId="4558526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2">
  <r>
    <x v="0"/>
    <x v="0"/>
    <n v="11800"/>
    <s v="FINALIZADO"/>
    <s v="Conforme"/>
    <m/>
    <m/>
    <m/>
    <m/>
    <m/>
    <s v=""/>
    <s v=""/>
    <s v="2025-06"/>
  </r>
  <r>
    <x v="1"/>
    <x v="1"/>
    <n v="1000"/>
    <s v="FINALIZADO"/>
    <s v="Conforme"/>
    <m/>
    <m/>
    <m/>
    <m/>
    <m/>
    <s v=""/>
    <s v=""/>
    <s v="2025-06"/>
  </r>
  <r>
    <x v="2"/>
    <x v="2"/>
    <n v="10000"/>
    <s v="FINALIZADO"/>
    <s v="Conforme"/>
    <m/>
    <m/>
    <m/>
    <m/>
    <m/>
    <s v=""/>
    <s v=""/>
    <s v="2025-06"/>
  </r>
  <r>
    <x v="3"/>
    <x v="3"/>
    <n v="10300"/>
    <s v="FINALIZADO"/>
    <s v="Conforme"/>
    <m/>
    <m/>
    <m/>
    <m/>
    <m/>
    <s v=""/>
    <s v=""/>
    <s v="2025-06"/>
  </r>
  <r>
    <x v="4"/>
    <x v="4"/>
    <n v="9000"/>
    <s v="FINALIZADO"/>
    <s v="Conforme"/>
    <m/>
    <m/>
    <m/>
    <m/>
    <m/>
    <s v=""/>
    <s v=""/>
    <s v="2025-06"/>
  </r>
  <r>
    <x v="4"/>
    <x v="5"/>
    <n v="330"/>
    <s v="FINALIZADO"/>
    <s v="Conforme"/>
    <m/>
    <m/>
    <m/>
    <m/>
    <m/>
    <s v=""/>
    <s v=""/>
    <s v="2025-06"/>
  </r>
  <r>
    <x v="4"/>
    <x v="6"/>
    <n v="7750"/>
    <s v="FINALIZADO"/>
    <s v="Conforme"/>
    <m/>
    <m/>
    <m/>
    <m/>
    <m/>
    <s v=""/>
    <s v=""/>
    <s v="2025-06"/>
  </r>
  <r>
    <x v="5"/>
    <x v="0"/>
    <n v="13580"/>
    <s v="FINALIZADO"/>
    <s v="Conforme"/>
    <m/>
    <m/>
    <m/>
    <m/>
    <m/>
    <s v=""/>
    <s v=""/>
    <s v="2025-06"/>
  </r>
  <r>
    <x v="5"/>
    <x v="7"/>
    <n v="2100"/>
    <s v="FINALIZADO"/>
    <s v="Conforme"/>
    <m/>
    <m/>
    <m/>
    <m/>
    <m/>
    <s v=""/>
    <s v=""/>
    <s v="2025-06"/>
  </r>
  <r>
    <x v="5"/>
    <x v="8"/>
    <n v="1350"/>
    <s v="FINALIZADO"/>
    <s v="Conforme"/>
    <m/>
    <m/>
    <m/>
    <m/>
    <m/>
    <s v=""/>
    <s v=""/>
    <s v="2025-06"/>
  </r>
  <r>
    <x v="6"/>
    <x v="4"/>
    <n v="7000"/>
    <s v="FINALIZADO"/>
    <s v="Conforme"/>
    <m/>
    <m/>
    <m/>
    <m/>
    <m/>
    <s v=""/>
    <s v=""/>
    <s v="2025-07"/>
  </r>
  <r>
    <x v="6"/>
    <x v="3"/>
    <n v="10300"/>
    <s v="FINALIZADO"/>
    <s v="Conforme"/>
    <m/>
    <m/>
    <m/>
    <m/>
    <m/>
    <s v=""/>
    <s v=""/>
    <s v="2025-07"/>
  </r>
  <r>
    <x v="6"/>
    <x v="8"/>
    <n v="5400"/>
    <s v="FINALIZADO"/>
    <s v="Conforme"/>
    <m/>
    <m/>
    <m/>
    <m/>
    <m/>
    <s v=""/>
    <s v=""/>
    <s v="2025-07"/>
  </r>
  <r>
    <x v="6"/>
    <x v="9"/>
    <n v="600"/>
    <s v="FINALIZADO"/>
    <s v="Conforme"/>
    <m/>
    <m/>
    <m/>
    <m/>
    <m/>
    <s v=""/>
    <s v=""/>
    <s v="2025-07"/>
  </r>
  <r>
    <x v="6"/>
    <x v="2"/>
    <n v="10000"/>
    <s v="FINALIZADO"/>
    <s v="Conforme"/>
    <m/>
    <m/>
    <m/>
    <m/>
    <m/>
    <s v=""/>
    <s v=""/>
    <s v="2025-07"/>
  </r>
  <r>
    <x v="7"/>
    <x v="8"/>
    <n v="10800"/>
    <s v="FINALIZADO"/>
    <s v="Conforme"/>
    <m/>
    <m/>
    <m/>
    <m/>
    <m/>
    <s v=""/>
    <s v=""/>
    <s v="2025-07"/>
  </r>
  <r>
    <x v="7"/>
    <x v="2"/>
    <n v="10000"/>
    <s v="FINALIZADO"/>
    <s v="Conforme"/>
    <m/>
    <m/>
    <m/>
    <m/>
    <m/>
    <s v=""/>
    <s v=""/>
    <s v="2025-07"/>
  </r>
  <r>
    <x v="8"/>
    <x v="10"/>
    <n v="900"/>
    <s v="FINALIZADO"/>
    <s v="Conforme"/>
    <m/>
    <m/>
    <m/>
    <m/>
    <m/>
    <s v=""/>
    <s v=""/>
    <s v="2025-07"/>
  </r>
  <r>
    <x v="8"/>
    <x v="8"/>
    <n v="14200"/>
    <s v="FINALIZADO"/>
    <s v="Conforme"/>
    <m/>
    <m/>
    <m/>
    <m/>
    <m/>
    <s v=""/>
    <s v=""/>
    <s v="2025-07"/>
  </r>
  <r>
    <x v="8"/>
    <x v="6"/>
    <n v="4500"/>
    <s v="FINALIZADO"/>
    <s v="Conforme"/>
    <m/>
    <m/>
    <m/>
    <m/>
    <m/>
    <s v=""/>
    <s v=""/>
    <s v="2025-07"/>
  </r>
  <r>
    <x v="9"/>
    <x v="3"/>
    <n v="10300"/>
    <s v="FINALIZADO"/>
    <s v="Conforme"/>
    <m/>
    <m/>
    <m/>
    <m/>
    <m/>
    <s v=""/>
    <s v=""/>
    <s v="2025-07"/>
  </r>
  <r>
    <x v="9"/>
    <x v="9"/>
    <n v="400"/>
    <s v="FINALIZADO"/>
    <s v="Conforme"/>
    <m/>
    <m/>
    <m/>
    <m/>
    <m/>
    <s v=""/>
    <s v=""/>
    <s v="2025-07"/>
  </r>
  <r>
    <x v="9"/>
    <x v="2"/>
    <n v="10000"/>
    <s v="FINALIZADO"/>
    <s v="Conforme"/>
    <m/>
    <m/>
    <m/>
    <m/>
    <m/>
    <s v=""/>
    <s v=""/>
    <s v="2025-07"/>
  </r>
  <r>
    <x v="9"/>
    <x v="6"/>
    <n v="4500"/>
    <s v="FINALIZADO"/>
    <s v="Conforme"/>
    <m/>
    <m/>
    <m/>
    <m/>
    <m/>
    <s v=""/>
    <s v=""/>
    <s v="2025-07"/>
  </r>
  <r>
    <x v="10"/>
    <x v="8"/>
    <n v="17550"/>
    <s v="FINALIZADO"/>
    <s v="Conforme"/>
    <m/>
    <m/>
    <m/>
    <m/>
    <m/>
    <s v=""/>
    <s v=""/>
    <s v="2025-07"/>
  </r>
  <r>
    <x v="10"/>
    <x v="2"/>
    <n v="10000"/>
    <s v="FINALIZADO"/>
    <s v="Conforme"/>
    <m/>
    <m/>
    <m/>
    <m/>
    <m/>
    <s v=""/>
    <s v=""/>
    <s v="2025-07"/>
  </r>
  <r>
    <x v="10"/>
    <x v="1"/>
    <n v="1000"/>
    <s v="FINALIZADO"/>
    <s v="Conforme"/>
    <m/>
    <m/>
    <m/>
    <m/>
    <m/>
    <s v=""/>
    <s v=""/>
    <s v="2025-07"/>
  </r>
  <r>
    <x v="11"/>
    <x v="11"/>
    <n v="1400"/>
    <s v="FINALIZADO"/>
    <s v="Conforme"/>
    <m/>
    <m/>
    <m/>
    <m/>
    <m/>
    <s v=""/>
    <s v=""/>
    <s v="2025-07"/>
  </r>
  <r>
    <x v="11"/>
    <x v="6"/>
    <n v="15000"/>
    <s v="FINALIZADO"/>
    <s v="Conforme"/>
    <m/>
    <m/>
    <m/>
    <m/>
    <m/>
    <s v=""/>
    <s v=""/>
    <s v="2025-07"/>
  </r>
  <r>
    <x v="12"/>
    <x v="12"/>
    <n v="1000"/>
    <s v="FINALIZADO"/>
    <s v="Conforme"/>
    <m/>
    <m/>
    <m/>
    <m/>
    <m/>
    <s v=""/>
    <s v=""/>
    <s v="2025-07"/>
  </r>
  <r>
    <x v="12"/>
    <x v="8"/>
    <n v="4050"/>
    <s v="FINALIZADO"/>
    <s v="Conforme"/>
    <m/>
    <m/>
    <m/>
    <m/>
    <m/>
    <s v=""/>
    <s v=""/>
    <s v="2025-07"/>
  </r>
  <r>
    <x v="13"/>
    <x v="13"/>
    <n v="19200"/>
    <s v="FINALIZADO"/>
    <s v="Conforme"/>
    <m/>
    <m/>
    <m/>
    <m/>
    <m/>
    <s v=""/>
    <s v=""/>
    <s v="2025-07"/>
  </r>
  <r>
    <x v="13"/>
    <x v="0"/>
    <n v="9970"/>
    <s v="FINALIZADO"/>
    <s v="Conforme"/>
    <m/>
    <m/>
    <m/>
    <m/>
    <m/>
    <s v=""/>
    <s v=""/>
    <s v="2025-07"/>
  </r>
  <r>
    <x v="13"/>
    <x v="7"/>
    <n v="5040"/>
    <s v="FINALIZADO"/>
    <s v="Conforme"/>
    <m/>
    <m/>
    <m/>
    <m/>
    <m/>
    <s v=""/>
    <s v=""/>
    <s v="2025-07"/>
  </r>
  <r>
    <x v="13"/>
    <x v="6"/>
    <n v="1550"/>
    <s v="FINALIZADO"/>
    <s v="Conforme"/>
    <m/>
    <m/>
    <m/>
    <m/>
    <m/>
    <s v=""/>
    <s v=""/>
    <s v="2025-07"/>
  </r>
  <r>
    <x v="13"/>
    <x v="6"/>
    <n v="12000"/>
    <s v="FINALIZADO"/>
    <s v="Conforme"/>
    <m/>
    <m/>
    <m/>
    <m/>
    <m/>
    <s v=""/>
    <s v=""/>
    <s v="2025-07"/>
  </r>
  <r>
    <x v="14"/>
    <x v="10"/>
    <n v="3600"/>
    <s v="FINALIZADO"/>
    <s v="Conforme"/>
    <m/>
    <m/>
    <m/>
    <m/>
    <m/>
    <s v=""/>
    <s v=""/>
    <s v="2025-07"/>
  </r>
  <r>
    <x v="14"/>
    <x v="3"/>
    <n v="10300"/>
    <s v="FINALIZADO"/>
    <s v="Conforme"/>
    <m/>
    <m/>
    <m/>
    <m/>
    <m/>
    <s v=""/>
    <s v=""/>
    <s v="2025-07"/>
  </r>
  <r>
    <x v="14"/>
    <x v="8"/>
    <n v="5400"/>
    <s v="FINALIZADO"/>
    <s v="Conforme"/>
    <m/>
    <m/>
    <m/>
    <m/>
    <m/>
    <s v=""/>
    <s v=""/>
    <s v="2025-07"/>
  </r>
  <r>
    <x v="14"/>
    <x v="8"/>
    <n v="1350"/>
    <s v="FINALIZADO"/>
    <s v="Conforme"/>
    <m/>
    <m/>
    <m/>
    <m/>
    <m/>
    <s v=""/>
    <s v=""/>
    <s v="2025-07"/>
  </r>
  <r>
    <x v="14"/>
    <x v="5"/>
    <n v="330"/>
    <s v="FINALIZADO"/>
    <s v="Conforme"/>
    <m/>
    <m/>
    <m/>
    <m/>
    <m/>
    <s v=""/>
    <s v=""/>
    <s v="2025-07"/>
  </r>
  <r>
    <x v="14"/>
    <x v="2"/>
    <n v="10000"/>
    <s v="FINALIZADO"/>
    <s v="Conforme"/>
    <m/>
    <m/>
    <m/>
    <m/>
    <m/>
    <s v=""/>
    <s v=""/>
    <s v="2025-07"/>
  </r>
  <r>
    <x v="14"/>
    <x v="14"/>
    <n v="900"/>
    <s v="FINALIZADO"/>
    <s v="Conforme"/>
    <m/>
    <m/>
    <m/>
    <m/>
    <m/>
    <s v=""/>
    <s v=""/>
    <s v="2025-07"/>
  </r>
  <r>
    <x v="14"/>
    <x v="6"/>
    <n v="9000"/>
    <s v="FINALIZADO"/>
    <s v="Conforme"/>
    <m/>
    <m/>
    <m/>
    <m/>
    <m/>
    <s v=""/>
    <s v=""/>
    <s v="2025-07"/>
  </r>
  <r>
    <x v="15"/>
    <x v="0"/>
    <n v="16170"/>
    <s v="FINALIZADO"/>
    <s v="Conforme"/>
    <m/>
    <m/>
    <m/>
    <m/>
    <m/>
    <s v=""/>
    <s v=""/>
    <s v="2025-07"/>
  </r>
  <r>
    <x v="15"/>
    <x v="15"/>
    <n v="6000"/>
    <s v="FINALIZADO"/>
    <s v="Conforme"/>
    <m/>
    <m/>
    <m/>
    <m/>
    <m/>
    <s v=""/>
    <s v=""/>
    <s v="2025-07"/>
  </r>
  <r>
    <x v="15"/>
    <x v="10"/>
    <n v="900"/>
    <s v="FINALIZADO"/>
    <s v="Conforme"/>
    <m/>
    <m/>
    <m/>
    <m/>
    <m/>
    <s v=""/>
    <s v=""/>
    <s v="2025-07"/>
  </r>
  <r>
    <x v="15"/>
    <x v="16"/>
    <n v="1250"/>
    <s v="FINALIZADO"/>
    <s v="Conforme"/>
    <m/>
    <m/>
    <m/>
    <m/>
    <m/>
    <s v=""/>
    <s v=""/>
    <s v="2025-07"/>
  </r>
  <r>
    <x v="16"/>
    <x v="3"/>
    <n v="10600"/>
    <s v="FINALIZADO"/>
    <s v="Conforme"/>
    <m/>
    <m/>
    <m/>
    <m/>
    <m/>
    <s v=""/>
    <s v=""/>
    <s v="2025-07"/>
  </r>
  <r>
    <x v="16"/>
    <x v="8"/>
    <n v="4050"/>
    <s v="FINALIZADO"/>
    <s v="Conforme"/>
    <m/>
    <m/>
    <m/>
    <m/>
    <m/>
    <s v=""/>
    <s v=""/>
    <s v="2025-07"/>
  </r>
  <r>
    <x v="17"/>
    <x v="0"/>
    <n v="16170"/>
    <s v="FINALIZADO"/>
    <s v="Conforme"/>
    <m/>
    <m/>
    <m/>
    <m/>
    <m/>
    <s v=""/>
    <s v=""/>
    <s v="2025-07"/>
  </r>
  <r>
    <x v="17"/>
    <x v="10"/>
    <n v="3600"/>
    <s v="FINALIZADO"/>
    <s v="Conforme"/>
    <m/>
    <m/>
    <m/>
    <m/>
    <m/>
    <s v=""/>
    <s v=""/>
    <s v="2025-07"/>
  </r>
  <r>
    <x v="17"/>
    <x v="8"/>
    <n v="2700"/>
    <s v="FINALIZADO"/>
    <s v="Conforme"/>
    <m/>
    <m/>
    <m/>
    <m/>
    <m/>
    <s v=""/>
    <s v=""/>
    <s v="2025-07"/>
  </r>
  <r>
    <x v="17"/>
    <x v="6"/>
    <n v="15000"/>
    <s v="FINALIZADO"/>
    <s v="Conforme"/>
    <m/>
    <m/>
    <m/>
    <m/>
    <m/>
    <s v=""/>
    <s v=""/>
    <s v="2025-07"/>
  </r>
  <r>
    <x v="18"/>
    <x v="4"/>
    <n v="1100"/>
    <s v="FINALIZADO"/>
    <s v="Conforme"/>
    <m/>
    <m/>
    <m/>
    <m/>
    <m/>
    <s v=""/>
    <s v=""/>
    <s v="2025-07"/>
  </r>
  <r>
    <x v="18"/>
    <x v="8"/>
    <n v="10800"/>
    <s v="FINALIZADO"/>
    <s v="Conforme"/>
    <m/>
    <m/>
    <m/>
    <m/>
    <m/>
    <s v=""/>
    <s v=""/>
    <s v="2025-07"/>
  </r>
  <r>
    <x v="18"/>
    <x v="17"/>
    <n v="4000"/>
    <s v="FINALIZADO"/>
    <s v="Conforme"/>
    <m/>
    <m/>
    <m/>
    <m/>
    <m/>
    <s v=""/>
    <s v=""/>
    <s v="2025-07"/>
  </r>
  <r>
    <x v="18"/>
    <x v="6"/>
    <n v="12400"/>
    <s v="FINALIZADO"/>
    <s v="Conforme"/>
    <m/>
    <m/>
    <m/>
    <m/>
    <m/>
    <s v=""/>
    <s v=""/>
    <s v="2025-07"/>
  </r>
  <r>
    <x v="19"/>
    <x v="8"/>
    <n v="2800"/>
    <s v="FINALIZADO"/>
    <s v="Conforme"/>
    <m/>
    <m/>
    <m/>
    <m/>
    <m/>
    <s v=""/>
    <s v=""/>
    <s v="2025-07"/>
  </r>
  <r>
    <x v="19"/>
    <x v="8"/>
    <n v="4050"/>
    <s v="FINALIZADO"/>
    <s v="Conforme"/>
    <m/>
    <m/>
    <m/>
    <m/>
    <m/>
    <s v=""/>
    <s v=""/>
    <s v="2025-07"/>
  </r>
  <r>
    <x v="19"/>
    <x v="2"/>
    <n v="10000"/>
    <s v="FINALIZADO"/>
    <s v="Conforme"/>
    <m/>
    <m/>
    <m/>
    <m/>
    <m/>
    <s v=""/>
    <s v=""/>
    <s v="2025-07"/>
  </r>
  <r>
    <x v="20"/>
    <x v="8"/>
    <n v="2800"/>
    <s v="FINALIZADO"/>
    <s v="Conforme"/>
    <m/>
    <m/>
    <m/>
    <m/>
    <m/>
    <s v=""/>
    <s v=""/>
    <s v="2025-07"/>
  </r>
  <r>
    <x v="21"/>
    <x v="4"/>
    <n v="7000"/>
    <s v="FINALIZADO"/>
    <s v="Conforme"/>
    <m/>
    <m/>
    <m/>
    <m/>
    <m/>
    <s v=""/>
    <s v=""/>
    <s v="2025-07"/>
  </r>
  <r>
    <x v="21"/>
    <x v="3"/>
    <n v="10300"/>
    <s v="FINALIZADO"/>
    <s v="Conforme"/>
    <m/>
    <m/>
    <m/>
    <m/>
    <m/>
    <s v=""/>
    <s v=""/>
    <s v="2025-07"/>
  </r>
  <r>
    <x v="21"/>
    <x v="6"/>
    <n v="9000"/>
    <s v="FINALIZADO"/>
    <s v="Conforme"/>
    <m/>
    <m/>
    <m/>
    <m/>
    <m/>
    <s v=""/>
    <s v=""/>
    <s v="2025-07"/>
  </r>
  <r>
    <x v="22"/>
    <x v="0"/>
    <n v="12300"/>
    <s v="FINALIZADO"/>
    <s v="Conforme"/>
    <m/>
    <m/>
    <m/>
    <m/>
    <m/>
    <s v=""/>
    <s v=""/>
    <s v="2025-07"/>
  </r>
  <r>
    <x v="22"/>
    <x v="7"/>
    <n v="3150"/>
    <s v="FINALIZADO"/>
    <s v="Conforme"/>
    <m/>
    <m/>
    <m/>
    <m/>
    <m/>
    <s v=""/>
    <s v=""/>
    <s v="2025-07"/>
  </r>
  <r>
    <x v="22"/>
    <x v="3"/>
    <n v="10300"/>
    <s v="FINALIZADO"/>
    <s v="Conforme"/>
    <m/>
    <m/>
    <m/>
    <m/>
    <m/>
    <s v=""/>
    <s v=""/>
    <s v="2025-07"/>
  </r>
  <r>
    <x v="22"/>
    <x v="8"/>
    <n v="8100"/>
    <s v="FINALIZADO"/>
    <s v="Conforme"/>
    <m/>
    <m/>
    <m/>
    <m/>
    <m/>
    <s v=""/>
    <s v=""/>
    <s v="2025-07"/>
  </r>
  <r>
    <x v="22"/>
    <x v="2"/>
    <n v="10000"/>
    <s v="FINALIZADO"/>
    <s v="Conforme"/>
    <m/>
    <m/>
    <m/>
    <m/>
    <m/>
    <s v=""/>
    <s v=""/>
    <s v="2025-07"/>
  </r>
  <r>
    <x v="22"/>
    <x v="1"/>
    <n v="1000"/>
    <s v="FINALIZADO"/>
    <s v="Conforme"/>
    <m/>
    <m/>
    <m/>
    <m/>
    <m/>
    <s v=""/>
    <s v=""/>
    <s v="2025-07"/>
  </r>
  <r>
    <x v="23"/>
    <x v="16"/>
    <n v="2250"/>
    <s v="FINALIZADO"/>
    <s v="Conforme"/>
    <m/>
    <m/>
    <m/>
    <m/>
    <m/>
    <s v=""/>
    <s v=""/>
    <s v="2025-07"/>
  </r>
  <r>
    <x v="23"/>
    <x v="8"/>
    <n v="1300"/>
    <s v="FINALIZADO"/>
    <s v="Conforme"/>
    <m/>
    <m/>
    <m/>
    <m/>
    <m/>
    <s v=""/>
    <s v=""/>
    <s v="2025-07"/>
  </r>
  <r>
    <x v="23"/>
    <x v="17"/>
    <n v="15000"/>
    <s v="FINALIZADO"/>
    <s v="Conforme"/>
    <m/>
    <m/>
    <m/>
    <m/>
    <m/>
    <s v=""/>
    <s v=""/>
    <s v="2025-07"/>
  </r>
  <r>
    <x v="24"/>
    <x v="4"/>
    <n v="5000"/>
    <s v="FINALIZADO"/>
    <s v="Conforme"/>
    <m/>
    <m/>
    <m/>
    <m/>
    <m/>
    <s v=""/>
    <s v=""/>
    <s v="2025-07"/>
  </r>
  <r>
    <x v="24"/>
    <x v="16"/>
    <n v="1250"/>
    <s v="FINALIZADO"/>
    <s v="Conforme"/>
    <m/>
    <m/>
    <m/>
    <m/>
    <m/>
    <s v=""/>
    <s v=""/>
    <s v="2025-07"/>
  </r>
  <r>
    <x v="24"/>
    <x v="8"/>
    <n v="5400"/>
    <s v="FINALIZADO"/>
    <s v="Conforme"/>
    <m/>
    <m/>
    <m/>
    <m/>
    <m/>
    <s v=""/>
    <s v=""/>
    <s v="2025-07"/>
  </r>
  <r>
    <x v="24"/>
    <x v="6"/>
    <n v="1500"/>
    <s v="FINALIZADO"/>
    <s v="Conforme"/>
    <m/>
    <m/>
    <m/>
    <m/>
    <m/>
    <s v=""/>
    <s v=""/>
    <s v="2025-07"/>
  </r>
  <r>
    <x v="24"/>
    <x v="6"/>
    <n v="4650"/>
    <s v="FINALIZADO"/>
    <s v="Conforme"/>
    <m/>
    <m/>
    <m/>
    <m/>
    <m/>
    <s v=""/>
    <s v=""/>
    <s v="2025-07"/>
  </r>
  <r>
    <x v="25"/>
    <x v="13"/>
    <n v="16000"/>
    <s v="FINALIZADO"/>
    <s v="Conforme"/>
    <m/>
    <m/>
    <m/>
    <m/>
    <m/>
    <s v=""/>
    <s v=""/>
    <s v="2025-07"/>
  </r>
  <r>
    <x v="25"/>
    <x v="8"/>
    <n v="2700"/>
    <s v="FINALIZADO"/>
    <s v="Conforme"/>
    <m/>
    <m/>
    <m/>
    <m/>
    <m/>
    <s v=""/>
    <s v=""/>
    <s v="2025-07"/>
  </r>
  <r>
    <x v="25"/>
    <x v="18"/>
    <n v="400"/>
    <s v="FINALIZADO"/>
    <s v="Conforme"/>
    <m/>
    <m/>
    <m/>
    <m/>
    <m/>
    <s v=""/>
    <s v=""/>
    <s v="2025-07"/>
  </r>
  <r>
    <x v="25"/>
    <x v="19"/>
    <n v="8500"/>
    <s v="FINALIZADO"/>
    <s v="Conforme"/>
    <m/>
    <m/>
    <m/>
    <m/>
    <m/>
    <s v=""/>
    <s v=""/>
    <s v="2025-07"/>
  </r>
  <r>
    <x v="26"/>
    <x v="11"/>
    <n v="1400"/>
    <s v="FINALIZADO"/>
    <s v="Conforme"/>
    <m/>
    <m/>
    <m/>
    <m/>
    <m/>
    <s v=""/>
    <s v=""/>
    <s v="2025-07"/>
  </r>
  <r>
    <x v="26"/>
    <x v="0"/>
    <n v="16170"/>
    <s v="FINALIZADO"/>
    <s v="Conforme"/>
    <m/>
    <m/>
    <m/>
    <m/>
    <m/>
    <s v=""/>
    <s v=""/>
    <s v="2025-07"/>
  </r>
  <r>
    <x v="26"/>
    <x v="15"/>
    <n v="7000"/>
    <s v="FINALIZADO"/>
    <s v="Conforme"/>
    <m/>
    <m/>
    <m/>
    <m/>
    <m/>
    <s v=""/>
    <s v=""/>
    <s v="2025-07"/>
  </r>
  <r>
    <x v="26"/>
    <x v="2"/>
    <n v="10000"/>
    <s v="FINALIZADO"/>
    <s v="Conforme"/>
    <m/>
    <m/>
    <m/>
    <m/>
    <m/>
    <s v=""/>
    <s v=""/>
    <s v="2025-07"/>
  </r>
  <r>
    <x v="26"/>
    <x v="10"/>
    <n v="3600"/>
    <s v="FINALIZADO"/>
    <s v="Conforme"/>
    <m/>
    <m/>
    <m/>
    <m/>
    <m/>
    <s v=""/>
    <s v=""/>
    <s v="2025-07"/>
  </r>
  <r>
    <x v="26"/>
    <x v="3"/>
    <n v="10550"/>
    <s v="FINALIZADO"/>
    <s v="Conforme"/>
    <m/>
    <m/>
    <m/>
    <m/>
    <m/>
    <s v=""/>
    <s v=""/>
    <s v="2025-07"/>
  </r>
  <r>
    <x v="26"/>
    <x v="8"/>
    <n v="11800"/>
    <s v="FINALIZADO"/>
    <s v="Conforme"/>
    <m/>
    <m/>
    <m/>
    <m/>
    <m/>
    <s v=""/>
    <s v=""/>
    <s v="2025-07"/>
  </r>
  <r>
    <x v="26"/>
    <x v="8"/>
    <n v="9450"/>
    <s v="FINALIZADO"/>
    <s v="Conforme"/>
    <m/>
    <m/>
    <m/>
    <m/>
    <m/>
    <s v=""/>
    <s v=""/>
    <s v="2025-07"/>
  </r>
  <r>
    <x v="26"/>
    <x v="20"/>
    <n v="2200"/>
    <s v="FINALIZADO"/>
    <s v="Conforme"/>
    <m/>
    <m/>
    <m/>
    <m/>
    <m/>
    <s v=""/>
    <s v=""/>
    <s v="2025-07"/>
  </r>
  <r>
    <x v="27"/>
    <x v="0"/>
    <n v="16170"/>
    <s v="FINALIZADO"/>
    <s v="Conforme"/>
    <m/>
    <m/>
    <m/>
    <m/>
    <m/>
    <s v=""/>
    <s v=""/>
    <s v="2025-07"/>
  </r>
  <r>
    <x v="27"/>
    <x v="10"/>
    <n v="3600"/>
    <s v="FINALIZADO"/>
    <s v="Conforme"/>
    <m/>
    <m/>
    <m/>
    <m/>
    <m/>
    <s v=""/>
    <s v=""/>
    <s v="2025-07"/>
  </r>
  <r>
    <x v="27"/>
    <x v="3"/>
    <n v="10300"/>
    <s v="FINALIZADO"/>
    <s v="Conforme"/>
    <m/>
    <m/>
    <m/>
    <m/>
    <m/>
    <s v=""/>
    <s v=""/>
    <s v="2025-07"/>
  </r>
  <r>
    <x v="27"/>
    <x v="8"/>
    <n v="9450"/>
    <s v="FINALIZADO"/>
    <s v="Conforme"/>
    <m/>
    <m/>
    <m/>
    <m/>
    <m/>
    <s v=""/>
    <s v=""/>
    <s v="2025-07"/>
  </r>
  <r>
    <x v="27"/>
    <x v="9"/>
    <n v="400"/>
    <s v="FINALIZADO"/>
    <s v="Conforme"/>
    <m/>
    <m/>
    <m/>
    <m/>
    <m/>
    <s v=""/>
    <s v=""/>
    <s v="2025-07"/>
  </r>
  <r>
    <x v="27"/>
    <x v="6"/>
    <n v="3000"/>
    <s v="FINALIZADO"/>
    <s v="Conforme"/>
    <m/>
    <m/>
    <m/>
    <m/>
    <m/>
    <s v=""/>
    <s v=""/>
    <s v="2025-07"/>
  </r>
  <r>
    <x v="28"/>
    <x v="15"/>
    <n v="7000"/>
    <s v="FINALIZADO"/>
    <s v="Conforme"/>
    <m/>
    <m/>
    <m/>
    <m/>
    <m/>
    <s v=""/>
    <s v=""/>
    <s v="2025-07"/>
  </r>
  <r>
    <x v="28"/>
    <x v="3"/>
    <n v="10500"/>
    <s v="FINALIZADO"/>
    <s v="Conforme"/>
    <m/>
    <m/>
    <m/>
    <m/>
    <m/>
    <s v=""/>
    <s v=""/>
    <s v="2025-07"/>
  </r>
  <r>
    <x v="28"/>
    <x v="8"/>
    <n v="4050"/>
    <s v="FINALIZADO"/>
    <s v="Conforme"/>
    <m/>
    <m/>
    <m/>
    <m/>
    <m/>
    <s v=""/>
    <s v=""/>
    <s v="2025-07"/>
  </r>
  <r>
    <x v="28"/>
    <x v="8"/>
    <n v="6750"/>
    <s v="FINALIZADO"/>
    <s v="Conforme"/>
    <m/>
    <m/>
    <m/>
    <m/>
    <m/>
    <s v=""/>
    <s v=""/>
    <s v="2025-07"/>
  </r>
  <r>
    <x v="28"/>
    <x v="6"/>
    <n v="9300"/>
    <s v="FINALIZADO"/>
    <s v="Conforme"/>
    <m/>
    <m/>
    <m/>
    <m/>
    <m/>
    <s v=""/>
    <s v=""/>
    <s v="2025-07"/>
  </r>
  <r>
    <x v="28"/>
    <x v="6"/>
    <n v="9000"/>
    <s v="FINALIZADO"/>
    <s v="Conforme"/>
    <m/>
    <m/>
    <m/>
    <m/>
    <m/>
    <s v=""/>
    <s v=""/>
    <s v="2025-07"/>
  </r>
  <r>
    <x v="29"/>
    <x v="4"/>
    <n v="7000"/>
    <s v="FINALIZADO"/>
    <s v="Conforme"/>
    <m/>
    <m/>
    <m/>
    <m/>
    <m/>
    <s v=""/>
    <s v=""/>
    <s v="2025-07"/>
  </r>
  <r>
    <x v="29"/>
    <x v="10"/>
    <n v="900"/>
    <s v="FINALIZADO"/>
    <s v="Conforme"/>
    <m/>
    <m/>
    <m/>
    <m/>
    <m/>
    <s v=""/>
    <s v=""/>
    <s v="2025-07"/>
  </r>
  <r>
    <x v="29"/>
    <x v="16"/>
    <n v="1250"/>
    <s v="FINALIZADO"/>
    <s v="Conforme"/>
    <m/>
    <m/>
    <m/>
    <m/>
    <m/>
    <s v=""/>
    <s v=""/>
    <s v="2025-07"/>
  </r>
  <r>
    <x v="29"/>
    <x v="6"/>
    <n v="15000"/>
    <s v="FINALIZADO"/>
    <s v="Conforme"/>
    <m/>
    <m/>
    <m/>
    <m/>
    <m/>
    <s v=""/>
    <s v=""/>
    <s v="2025-07"/>
  </r>
  <r>
    <x v="29"/>
    <x v="21"/>
    <n v="1050"/>
    <s v="FINALIZADO"/>
    <s v="Conforme"/>
    <m/>
    <m/>
    <m/>
    <m/>
    <m/>
    <s v=""/>
    <s v=""/>
    <s v="2025-07"/>
  </r>
  <r>
    <x v="30"/>
    <x v="22"/>
    <n v="700"/>
    <s v="FINALIZADO"/>
    <s v="Conforme"/>
    <m/>
    <m/>
    <m/>
    <m/>
    <m/>
    <s v=""/>
    <s v=""/>
    <s v="2025-08"/>
  </r>
  <r>
    <x v="30"/>
    <x v="2"/>
    <n v="10000"/>
    <s v="FINALIZADO"/>
    <s v="Conforme"/>
    <m/>
    <m/>
    <m/>
    <m/>
    <m/>
    <s v=""/>
    <s v=""/>
    <s v="2025-08"/>
  </r>
  <r>
    <x v="30"/>
    <x v="10"/>
    <n v="900"/>
    <s v="FINALIZADO"/>
    <s v="Conforme"/>
    <m/>
    <m/>
    <m/>
    <m/>
    <m/>
    <s v=""/>
    <s v=""/>
    <s v="2025-08"/>
  </r>
  <r>
    <x v="30"/>
    <x v="8"/>
    <n v="12150"/>
    <s v="FINALIZADO"/>
    <s v="Conforme"/>
    <m/>
    <m/>
    <m/>
    <m/>
    <m/>
    <s v=""/>
    <s v=""/>
    <s v="2025-08"/>
  </r>
  <r>
    <x v="30"/>
    <x v="6"/>
    <n v="15000"/>
    <s v="FINALIZADO"/>
    <s v="Conforme"/>
    <m/>
    <m/>
    <m/>
    <m/>
    <m/>
    <s v=""/>
    <s v=""/>
    <s v="2025-08"/>
  </r>
  <r>
    <x v="31"/>
    <x v="23"/>
    <n v="1130"/>
    <s v="FINALIZADO"/>
    <s v="Conforme"/>
    <m/>
    <m/>
    <m/>
    <m/>
    <m/>
    <s v=""/>
    <s v=""/>
    <s v="2025-08"/>
  </r>
  <r>
    <x v="31"/>
    <x v="10"/>
    <n v="4500"/>
    <s v="FINALIZADO"/>
    <s v="Conforme"/>
    <m/>
    <m/>
    <m/>
    <m/>
    <m/>
    <s v=""/>
    <s v=""/>
    <s v="2025-08"/>
  </r>
  <r>
    <x v="31"/>
    <x v="8"/>
    <n v="5400"/>
    <s v="FINALIZADO"/>
    <s v="Conforme"/>
    <m/>
    <m/>
    <m/>
    <m/>
    <m/>
    <s v=""/>
    <s v=""/>
    <s v="2025-08"/>
  </r>
  <r>
    <x v="31"/>
    <x v="23"/>
    <n v="4520"/>
    <s v="FINALIZADO"/>
    <s v="Conforme"/>
    <m/>
    <m/>
    <m/>
    <m/>
    <m/>
    <s v=""/>
    <s v=""/>
    <s v="2025-08"/>
  </r>
  <r>
    <x v="31"/>
    <x v="24"/>
    <n v="5100"/>
    <s v="FINALIZADO"/>
    <s v="Conforme"/>
    <m/>
    <m/>
    <m/>
    <m/>
    <m/>
    <s v=""/>
    <s v=""/>
    <s v="2025-08"/>
  </r>
  <r>
    <x v="32"/>
    <x v="4"/>
    <n v="2000"/>
    <s v="FINALIZADO"/>
    <s v="Conforme"/>
    <m/>
    <m/>
    <m/>
    <m/>
    <m/>
    <s v=""/>
    <s v=""/>
    <s v="2025-08"/>
  </r>
  <r>
    <x v="32"/>
    <x v="8"/>
    <n v="1350"/>
    <s v="FINALIZADO"/>
    <s v="Conforme"/>
    <m/>
    <m/>
    <m/>
    <m/>
    <m/>
    <s v=""/>
    <s v=""/>
    <s v="2025-08"/>
  </r>
  <r>
    <x v="32"/>
    <x v="6"/>
    <n v="3000"/>
    <s v="FINALIZADO"/>
    <s v="Conforme"/>
    <m/>
    <m/>
    <m/>
    <m/>
    <m/>
    <s v=""/>
    <s v=""/>
    <s v="2025-08"/>
  </r>
  <r>
    <x v="32"/>
    <x v="6"/>
    <n v="1500"/>
    <s v="FINALIZADO"/>
    <s v="Conforme"/>
    <m/>
    <m/>
    <m/>
    <m/>
    <m/>
    <s v=""/>
    <s v=""/>
    <s v="2025-08"/>
  </r>
  <r>
    <x v="32"/>
    <x v="25"/>
    <n v="7000"/>
    <s v="FINALIZADO"/>
    <s v="Conforme"/>
    <m/>
    <m/>
    <m/>
    <m/>
    <m/>
    <s v=""/>
    <s v=""/>
    <s v="2025-08"/>
  </r>
  <r>
    <x v="32"/>
    <x v="23"/>
    <n v="1130"/>
    <s v="FINALIZADO"/>
    <s v="Conforme"/>
    <m/>
    <m/>
    <m/>
    <m/>
    <m/>
    <s v=""/>
    <s v=""/>
    <s v="2025-08"/>
  </r>
  <r>
    <x v="32"/>
    <x v="3"/>
    <n v="10400"/>
    <s v="FINALIZADO"/>
    <s v="Conforme"/>
    <m/>
    <m/>
    <m/>
    <m/>
    <m/>
    <s v=""/>
    <s v=""/>
    <s v="2025-08"/>
  </r>
  <r>
    <x v="32"/>
    <x v="19"/>
    <n v="8500"/>
    <s v="FINALIZADO"/>
    <s v="Conforme"/>
    <m/>
    <m/>
    <m/>
    <m/>
    <m/>
    <s v=""/>
    <s v=""/>
    <s v="2025-08"/>
  </r>
  <r>
    <x v="32"/>
    <x v="26"/>
    <n v="1000"/>
    <s v="FINALIZADO"/>
    <s v="Conforme"/>
    <m/>
    <m/>
    <m/>
    <m/>
    <m/>
    <s v=""/>
    <s v=""/>
    <s v="2025-08"/>
  </r>
  <r>
    <x v="32"/>
    <x v="1"/>
    <n v="1000"/>
    <s v="FINALIZADO"/>
    <s v="Conforme"/>
    <m/>
    <m/>
    <m/>
    <m/>
    <m/>
    <s v=""/>
    <s v=""/>
    <s v="2025-08"/>
  </r>
  <r>
    <x v="33"/>
    <x v="10"/>
    <n v="3600"/>
    <s v="FINALIZADO"/>
    <s v="Conforme"/>
    <m/>
    <m/>
    <m/>
    <m/>
    <m/>
    <s v=""/>
    <s v=""/>
    <s v="2025-08"/>
  </r>
  <r>
    <x v="33"/>
    <x v="21"/>
    <n v="3150"/>
    <s v="FINALIZADO"/>
    <s v="Conforme"/>
    <m/>
    <m/>
    <m/>
    <m/>
    <m/>
    <s v=""/>
    <s v=""/>
    <s v="2025-08"/>
  </r>
  <r>
    <x v="33"/>
    <x v="0"/>
    <n v="8300"/>
    <s v="FINALIZADO"/>
    <s v="Conforme"/>
    <m/>
    <m/>
    <m/>
    <m/>
    <m/>
    <s v=""/>
    <s v=""/>
    <s v="2025-08"/>
  </r>
  <r>
    <x v="33"/>
    <x v="6"/>
    <n v="15000"/>
    <s v="FINALIZADO"/>
    <s v="Conforme"/>
    <m/>
    <m/>
    <m/>
    <m/>
    <m/>
    <s v=""/>
    <s v=""/>
    <s v="2025-08"/>
  </r>
  <r>
    <x v="34"/>
    <x v="16"/>
    <n v="1250"/>
    <s v="FINALIZADO"/>
    <s v="Conforme"/>
    <m/>
    <m/>
    <m/>
    <m/>
    <m/>
    <s v=""/>
    <s v=""/>
    <s v="2025-08"/>
  </r>
  <r>
    <x v="34"/>
    <x v="16"/>
    <n v="1000"/>
    <s v="FINALIZADO"/>
    <s v="Conforme"/>
    <m/>
    <m/>
    <m/>
    <m/>
    <m/>
    <s v=""/>
    <s v=""/>
    <s v="2025-08"/>
  </r>
  <r>
    <x v="34"/>
    <x v="8"/>
    <n v="6750"/>
    <s v="FINALIZADO"/>
    <s v="Conforme"/>
    <m/>
    <m/>
    <m/>
    <m/>
    <m/>
    <s v=""/>
    <s v=""/>
    <s v="2025-08"/>
  </r>
  <r>
    <x v="34"/>
    <x v="9"/>
    <n v="400"/>
    <s v="FINALIZADO"/>
    <s v="Conforme"/>
    <m/>
    <m/>
    <m/>
    <m/>
    <m/>
    <s v=""/>
    <s v=""/>
    <s v="2025-08"/>
  </r>
  <r>
    <x v="34"/>
    <x v="6"/>
    <n v="16500"/>
    <s v="FINALIZADO"/>
    <s v="Conforme"/>
    <m/>
    <m/>
    <m/>
    <m/>
    <m/>
    <s v=""/>
    <s v=""/>
    <s v="2025-08"/>
  </r>
  <r>
    <x v="35"/>
    <x v="2"/>
    <n v="10000"/>
    <s v="FINALIZADO"/>
    <s v="Conforme"/>
    <m/>
    <m/>
    <m/>
    <m/>
    <m/>
    <s v=""/>
    <s v=""/>
    <s v="2025-08"/>
  </r>
  <r>
    <x v="35"/>
    <x v="24"/>
    <n v="7500"/>
    <s v="FINALIZADO"/>
    <s v="Conforme"/>
    <m/>
    <m/>
    <m/>
    <m/>
    <m/>
    <s v=""/>
    <s v=""/>
    <s v="2025-08"/>
  </r>
  <r>
    <x v="35"/>
    <x v="10"/>
    <n v="3600"/>
    <s v="FINALIZADO"/>
    <s v="Conforme"/>
    <m/>
    <m/>
    <m/>
    <m/>
    <m/>
    <s v=""/>
    <s v=""/>
    <s v="2025-08"/>
  </r>
  <r>
    <x v="35"/>
    <x v="27"/>
    <n v="880"/>
    <s v="FINALIZADO"/>
    <s v="Conforme"/>
    <m/>
    <m/>
    <m/>
    <m/>
    <m/>
    <s v=""/>
    <s v=""/>
    <s v="2025-08"/>
  </r>
  <r>
    <x v="35"/>
    <x v="4"/>
    <n v="7000"/>
    <s v="FINALIZADO"/>
    <s v="Conforme"/>
    <m/>
    <m/>
    <m/>
    <m/>
    <m/>
    <s v=""/>
    <s v=""/>
    <s v="2025-08"/>
  </r>
  <r>
    <x v="35"/>
    <x v="0"/>
    <n v="10350"/>
    <s v="FINALIZADO"/>
    <s v="Conforme"/>
    <m/>
    <m/>
    <m/>
    <m/>
    <m/>
    <s v=""/>
    <s v=""/>
    <s v="2025-08"/>
  </r>
  <r>
    <x v="36"/>
    <x v="8"/>
    <n v="4050"/>
    <s v="FINALIZADO"/>
    <s v="Conforme"/>
    <m/>
    <m/>
    <m/>
    <m/>
    <m/>
    <s v=""/>
    <s v=""/>
    <s v="2025-08"/>
  </r>
  <r>
    <x v="36"/>
    <x v="23"/>
    <n v="2260"/>
    <s v="FINALIZADO"/>
    <s v="Conforme"/>
    <m/>
    <m/>
    <m/>
    <m/>
    <m/>
    <s v=""/>
    <s v=""/>
    <s v="2025-08"/>
  </r>
  <r>
    <x v="36"/>
    <x v="22"/>
    <n v="480"/>
    <s v="FINALIZADO"/>
    <s v="Conforme"/>
    <m/>
    <m/>
    <m/>
    <m/>
    <m/>
    <s v=""/>
    <s v=""/>
    <s v="2025-08"/>
  </r>
  <r>
    <x v="36"/>
    <x v="23"/>
    <n v="2260"/>
    <s v="FINALIZADO"/>
    <s v="Conforme"/>
    <m/>
    <m/>
    <m/>
    <m/>
    <m/>
    <s v=""/>
    <s v=""/>
    <s v="2025-08"/>
  </r>
  <r>
    <x v="36"/>
    <x v="23"/>
    <n v="1130"/>
    <s v="FINALIZADO"/>
    <s v="Conforme"/>
    <m/>
    <m/>
    <m/>
    <m/>
    <m/>
    <s v=""/>
    <s v=""/>
    <s v="2025-08"/>
  </r>
  <r>
    <x v="36"/>
    <x v="8"/>
    <n v="1350"/>
    <s v="FINALIZADO"/>
    <s v="Conforme"/>
    <m/>
    <m/>
    <m/>
    <m/>
    <m/>
    <s v=""/>
    <s v=""/>
    <s v="2025-08"/>
  </r>
  <r>
    <x v="36"/>
    <x v="8"/>
    <n v="2800"/>
    <s v="FINALIZADO"/>
    <s v="Conforme"/>
    <m/>
    <m/>
    <m/>
    <m/>
    <m/>
    <s v=""/>
    <s v=""/>
    <s v="2025-08"/>
  </r>
  <r>
    <x v="36"/>
    <x v="6"/>
    <n v="4500"/>
    <s v="FINALIZADO"/>
    <s v="Conforme"/>
    <m/>
    <m/>
    <m/>
    <m/>
    <m/>
    <s v=""/>
    <s v=""/>
    <s v="2025-08"/>
  </r>
  <r>
    <x v="36"/>
    <x v="2"/>
    <n v="10000"/>
    <s v="FINALIZADO"/>
    <s v="Conforme"/>
    <m/>
    <m/>
    <m/>
    <m/>
    <m/>
    <s v=""/>
    <s v=""/>
    <s v="2025-08"/>
  </r>
  <r>
    <x v="36"/>
    <x v="15"/>
    <n v="10000"/>
    <s v="FINALIZADO"/>
    <s v="Conforme"/>
    <m/>
    <m/>
    <m/>
    <m/>
    <m/>
    <s v=""/>
    <s v=""/>
    <s v="2025-08"/>
  </r>
  <r>
    <x v="37"/>
    <x v="8"/>
    <n v="9450"/>
    <s v="FINALIZADO"/>
    <s v="Conforme"/>
    <m/>
    <m/>
    <m/>
    <m/>
    <m/>
    <s v=""/>
    <s v=""/>
    <s v="2025-08"/>
  </r>
  <r>
    <x v="38"/>
    <x v="3"/>
    <n v="10400"/>
    <s v="FINALIZADO"/>
    <s v="Conforme"/>
    <m/>
    <m/>
    <m/>
    <m/>
    <m/>
    <s v=""/>
    <s v=""/>
    <s v="2025-08"/>
  </r>
  <r>
    <x v="38"/>
    <x v="10"/>
    <n v="900"/>
    <s v="FINALIZADO"/>
    <s v="Conforme"/>
    <m/>
    <m/>
    <m/>
    <m/>
    <m/>
    <s v=""/>
    <s v=""/>
    <s v="2025-08"/>
  </r>
  <r>
    <x v="38"/>
    <x v="10"/>
    <n v="900"/>
    <s v="FINALIZADO"/>
    <s v="Conforme"/>
    <m/>
    <m/>
    <m/>
    <m/>
    <m/>
    <s v=""/>
    <s v=""/>
    <s v="2025-08"/>
  </r>
  <r>
    <x v="38"/>
    <x v="20"/>
    <n v="3000"/>
    <s v="FINALIZADO"/>
    <s v="Conforme"/>
    <m/>
    <m/>
    <m/>
    <m/>
    <m/>
    <s v=""/>
    <s v=""/>
    <s v="2025-08"/>
  </r>
  <r>
    <x v="38"/>
    <x v="21"/>
    <n v="1050"/>
    <s v="FINALIZADO"/>
    <s v="Conforme"/>
    <m/>
    <m/>
    <m/>
    <m/>
    <m/>
    <s v=""/>
    <s v=""/>
    <s v="2025-08"/>
  </r>
  <r>
    <x v="38"/>
    <x v="28"/>
    <n v="1200"/>
    <s v="FINALIZADO"/>
    <s v="Conforme"/>
    <m/>
    <m/>
    <m/>
    <m/>
    <m/>
    <s v=""/>
    <s v=""/>
    <s v="2025-08"/>
  </r>
  <r>
    <x v="38"/>
    <x v="0"/>
    <n v="16170"/>
    <s v="FINALIZADO"/>
    <s v="Conforme"/>
    <m/>
    <m/>
    <m/>
    <m/>
    <m/>
    <s v=""/>
    <s v=""/>
    <s v="2025-08"/>
  </r>
  <r>
    <x v="39"/>
    <x v="10"/>
    <n v="1800"/>
    <s v="FINALIZADO"/>
    <s v="Conforme"/>
    <m/>
    <m/>
    <m/>
    <m/>
    <m/>
    <s v=""/>
    <s v=""/>
    <s v="2025-08"/>
  </r>
  <r>
    <x v="39"/>
    <x v="6"/>
    <n v="9300"/>
    <s v="FINALIZADO"/>
    <s v="Conforme"/>
    <m/>
    <m/>
    <m/>
    <m/>
    <m/>
    <s v=""/>
    <s v=""/>
    <s v="2025-08"/>
  </r>
  <r>
    <x v="39"/>
    <x v="6"/>
    <n v="9000"/>
    <s v="FINALIZADO"/>
    <s v="Conforme"/>
    <m/>
    <m/>
    <m/>
    <m/>
    <m/>
    <s v=""/>
    <s v=""/>
    <s v="2025-08"/>
  </r>
  <r>
    <x v="39"/>
    <x v="6"/>
    <n v="3000"/>
    <s v="FINALIZADO"/>
    <s v="Conforme"/>
    <m/>
    <m/>
    <m/>
    <m/>
    <m/>
    <s v=""/>
    <s v=""/>
    <s v="2025-08"/>
  </r>
  <r>
    <x v="40"/>
    <x v="15"/>
    <n v="6850"/>
    <s v="FINALIZADO"/>
    <s v="Conforme"/>
    <m/>
    <m/>
    <m/>
    <m/>
    <m/>
    <s v=""/>
    <s v=""/>
    <s v="2025-08"/>
  </r>
  <r>
    <x v="40"/>
    <x v="24"/>
    <n v="7500"/>
    <s v="FINALIZADO"/>
    <s v="Conforme"/>
    <m/>
    <m/>
    <m/>
    <m/>
    <m/>
    <s v=""/>
    <s v=""/>
    <s v="2025-08"/>
  </r>
  <r>
    <x v="40"/>
    <x v="8"/>
    <n v="1350"/>
    <s v="FINALIZADO"/>
    <s v="Conforme"/>
    <m/>
    <m/>
    <m/>
    <m/>
    <m/>
    <s v=""/>
    <s v=""/>
    <s v="2025-08"/>
  </r>
  <r>
    <x v="40"/>
    <x v="23"/>
    <n v="4520"/>
    <s v="FINALIZADO"/>
    <s v="Conforme"/>
    <m/>
    <m/>
    <m/>
    <m/>
    <m/>
    <s v=""/>
    <s v=""/>
    <s v="2025-08"/>
  </r>
  <r>
    <x v="40"/>
    <x v="9"/>
    <n v="800"/>
    <s v="FINALIZADO"/>
    <s v="Conforme"/>
    <m/>
    <m/>
    <m/>
    <m/>
    <m/>
    <s v=""/>
    <s v=""/>
    <s v="2025-08"/>
  </r>
  <r>
    <x v="40"/>
    <x v="12"/>
    <n v="1000"/>
    <s v="FINALIZADO"/>
    <s v="Conforme"/>
    <m/>
    <m/>
    <m/>
    <m/>
    <m/>
    <s v=""/>
    <s v=""/>
    <s v="2025-08"/>
  </r>
  <r>
    <x v="40"/>
    <x v="25"/>
    <n v="4400"/>
    <s v="FINALIZADO"/>
    <s v="Conforme"/>
    <m/>
    <m/>
    <m/>
    <m/>
    <m/>
    <s v=""/>
    <s v=""/>
    <s v="2025-08"/>
  </r>
  <r>
    <x v="40"/>
    <x v="25"/>
    <n v="1100"/>
    <s v="FINALIZADO"/>
    <s v="Conforme"/>
    <m/>
    <m/>
    <m/>
    <m/>
    <m/>
    <s v=""/>
    <s v=""/>
    <s v="2025-08"/>
  </r>
  <r>
    <x v="40"/>
    <x v="24"/>
    <n v="15000"/>
    <s v="FINALIZADO"/>
    <s v="Conforme"/>
    <m/>
    <m/>
    <m/>
    <m/>
    <m/>
    <s v=""/>
    <s v=""/>
    <s v="2025-08"/>
  </r>
  <r>
    <x v="40"/>
    <x v="10"/>
    <n v="1800"/>
    <s v="FINALIZADO"/>
    <s v="Conforme"/>
    <m/>
    <m/>
    <m/>
    <m/>
    <m/>
    <s v=""/>
    <s v=""/>
    <s v="2025-08"/>
  </r>
  <r>
    <x v="41"/>
    <x v="23"/>
    <n v="1130"/>
    <s v="FINALIZADO"/>
    <s v="Conforme"/>
    <m/>
    <m/>
    <m/>
    <m/>
    <m/>
    <s v=""/>
    <s v=""/>
    <s v="2025-08"/>
  </r>
  <r>
    <x v="41"/>
    <x v="4"/>
    <n v="5500"/>
    <s v="FINALIZADO"/>
    <s v="Conforme"/>
    <m/>
    <m/>
    <m/>
    <m/>
    <m/>
    <s v=""/>
    <s v=""/>
    <s v="2025-08"/>
  </r>
  <r>
    <x v="41"/>
    <x v="10"/>
    <n v="900"/>
    <s v="FINALIZADO"/>
    <s v="Conforme"/>
    <m/>
    <m/>
    <m/>
    <m/>
    <m/>
    <s v=""/>
    <s v=""/>
    <s v="2025-08"/>
  </r>
  <r>
    <x v="41"/>
    <x v="8"/>
    <n v="2700"/>
    <s v="FINALIZADO"/>
    <s v="Conforme"/>
    <m/>
    <m/>
    <m/>
    <m/>
    <m/>
    <s v=""/>
    <s v=""/>
    <s v="2025-08"/>
  </r>
  <r>
    <x v="42"/>
    <x v="10"/>
    <n v="900"/>
    <s v="FINALIZADO"/>
    <s v="Conforme"/>
    <m/>
    <m/>
    <m/>
    <m/>
    <m/>
    <s v=""/>
    <s v=""/>
    <s v="2025-08"/>
  </r>
  <r>
    <x v="42"/>
    <x v="8"/>
    <n v="2700"/>
    <s v="FINALIZADO"/>
    <s v="Conforme"/>
    <m/>
    <m/>
    <m/>
    <m/>
    <m/>
    <s v=""/>
    <s v=""/>
    <s v="2025-08"/>
  </r>
  <r>
    <x v="42"/>
    <x v="1"/>
    <n v="1000"/>
    <s v="FINALIZADO"/>
    <s v="Conforme"/>
    <m/>
    <m/>
    <m/>
    <m/>
    <m/>
    <s v=""/>
    <s v=""/>
    <s v="2025-08"/>
  </r>
  <r>
    <x v="42"/>
    <x v="6"/>
    <n v="7500"/>
    <s v="FINALIZADO"/>
    <s v="Conforme"/>
    <m/>
    <m/>
    <m/>
    <m/>
    <m/>
    <s v=""/>
    <s v=""/>
    <s v="2025-08"/>
  </r>
  <r>
    <x v="42"/>
    <x v="8"/>
    <n v="2700"/>
    <s v="FINALIZADO"/>
    <s v="Conforme"/>
    <m/>
    <m/>
    <m/>
    <m/>
    <m/>
    <s v=""/>
    <s v=""/>
    <s v="2025-08"/>
  </r>
  <r>
    <x v="42"/>
    <x v="8"/>
    <n v="4050"/>
    <s v="FINALIZADO"/>
    <s v="Conforme"/>
    <m/>
    <m/>
    <m/>
    <m/>
    <m/>
    <s v=""/>
    <s v=""/>
    <s v="2025-08"/>
  </r>
  <r>
    <x v="42"/>
    <x v="8"/>
    <n v="1350"/>
    <s v="FINALIZADO"/>
    <s v="Conforme"/>
    <m/>
    <m/>
    <m/>
    <m/>
    <m/>
    <s v=""/>
    <s v=""/>
    <s v="2025-08"/>
  </r>
  <r>
    <x v="42"/>
    <x v="0"/>
    <n v="6300"/>
    <s v="FINALIZADO"/>
    <s v="Conforme"/>
    <m/>
    <m/>
    <m/>
    <m/>
    <m/>
    <s v=""/>
    <s v=""/>
    <s v="2025-08"/>
  </r>
  <r>
    <x v="42"/>
    <x v="7"/>
    <n v="6300"/>
    <s v="FINALIZADO"/>
    <s v="Conforme"/>
    <m/>
    <m/>
    <m/>
    <m/>
    <m/>
    <s v=""/>
    <s v=""/>
    <s v="2025-08"/>
  </r>
  <r>
    <x v="43"/>
    <x v="4"/>
    <n v="1100"/>
    <s v="FINALIZADO"/>
    <s v="Conforme"/>
    <m/>
    <m/>
    <m/>
    <m/>
    <m/>
    <s v=""/>
    <s v=""/>
    <s v="2025-08"/>
  </r>
  <r>
    <x v="43"/>
    <x v="8"/>
    <n v="1350"/>
    <s v="FINALIZADO"/>
    <s v="Conforme"/>
    <m/>
    <m/>
    <m/>
    <m/>
    <m/>
    <s v=""/>
    <s v=""/>
    <s v="2025-08"/>
  </r>
  <r>
    <x v="43"/>
    <x v="8"/>
    <n v="1350"/>
    <s v="FINALIZADO"/>
    <s v="Conforme"/>
    <m/>
    <m/>
    <m/>
    <m/>
    <m/>
    <s v=""/>
    <s v=""/>
    <s v="2025-08"/>
  </r>
  <r>
    <x v="43"/>
    <x v="8"/>
    <n v="8100"/>
    <s v="FINALIZADO"/>
    <s v="Conforme"/>
    <m/>
    <m/>
    <m/>
    <m/>
    <m/>
    <s v=""/>
    <s v=""/>
    <s v="2025-08"/>
  </r>
  <r>
    <x v="43"/>
    <x v="3"/>
    <n v="10400"/>
    <s v="FINALIZADO"/>
    <s v="Conforme"/>
    <m/>
    <m/>
    <m/>
    <m/>
    <m/>
    <s v=""/>
    <s v=""/>
    <s v="2025-08"/>
  </r>
  <r>
    <x v="43"/>
    <x v="6"/>
    <n v="4500"/>
    <s v="FINALIZADO"/>
    <s v="Conforme"/>
    <m/>
    <m/>
    <m/>
    <m/>
    <m/>
    <s v=""/>
    <s v=""/>
    <s v="2025-08"/>
  </r>
  <r>
    <x v="44"/>
    <x v="14"/>
    <n v="900"/>
    <s v="FINALIZADO"/>
    <s v="Conforme"/>
    <m/>
    <m/>
    <m/>
    <m/>
    <m/>
    <s v=""/>
    <s v=""/>
    <s v="2025-08"/>
  </r>
  <r>
    <x v="44"/>
    <x v="22"/>
    <n v="1000"/>
    <s v="FINALIZADO"/>
    <s v="Conforme"/>
    <m/>
    <m/>
    <m/>
    <m/>
    <m/>
    <s v=""/>
    <s v=""/>
    <s v="2025-08"/>
  </r>
  <r>
    <x v="44"/>
    <x v="8"/>
    <n v="1350"/>
    <s v="FINALIZADO"/>
    <s v="Conforme"/>
    <m/>
    <m/>
    <m/>
    <m/>
    <m/>
    <s v=""/>
    <s v=""/>
    <s v="2025-08"/>
  </r>
  <r>
    <x v="44"/>
    <x v="10"/>
    <n v="900"/>
    <s v="FINALIZADO"/>
    <s v="Conforme"/>
    <m/>
    <m/>
    <m/>
    <m/>
    <m/>
    <s v=""/>
    <s v=""/>
    <s v="2025-08"/>
  </r>
  <r>
    <x v="44"/>
    <x v="8"/>
    <n v="5400"/>
    <s v="FINALIZADO"/>
    <s v="Conforme"/>
    <m/>
    <m/>
    <m/>
    <m/>
    <m/>
    <s v=""/>
    <s v=""/>
    <s v="2025-08"/>
  </r>
  <r>
    <x v="44"/>
    <x v="25"/>
    <n v="5500"/>
    <s v="FINALIZADO"/>
    <s v="Conforme"/>
    <m/>
    <m/>
    <m/>
    <m/>
    <m/>
    <s v=""/>
    <s v=""/>
    <s v="2025-08"/>
  </r>
  <r>
    <x v="44"/>
    <x v="21"/>
    <n v="1050"/>
    <s v="FINALIZADO"/>
    <s v="Conforme"/>
    <m/>
    <m/>
    <m/>
    <m/>
    <m/>
    <s v=""/>
    <s v=""/>
    <s v="2025-08"/>
  </r>
  <r>
    <x v="44"/>
    <x v="24"/>
    <n v="4500"/>
    <s v="FINALIZADO"/>
    <s v="Conforme"/>
    <m/>
    <m/>
    <m/>
    <m/>
    <m/>
    <s v=""/>
    <s v=""/>
    <s v="2025-08"/>
  </r>
  <r>
    <x v="45"/>
    <x v="8"/>
    <n v="1350"/>
    <s v="FINALIZADO"/>
    <s v="Conforme"/>
    <m/>
    <m/>
    <m/>
    <m/>
    <m/>
    <s v=""/>
    <s v=""/>
    <s v="2025-08"/>
  </r>
  <r>
    <x v="45"/>
    <x v="20"/>
    <n v="3600"/>
    <s v="FINALIZADO"/>
    <s v="Conforme"/>
    <m/>
    <m/>
    <m/>
    <m/>
    <m/>
    <s v=""/>
    <s v=""/>
    <s v="2025-08"/>
  </r>
  <r>
    <x v="45"/>
    <x v="29"/>
    <n v="1000"/>
    <s v="FINALIZADO"/>
    <s v="Conforme"/>
    <m/>
    <m/>
    <m/>
    <m/>
    <m/>
    <s v=""/>
    <s v=""/>
    <s v="2025-08"/>
  </r>
  <r>
    <x v="45"/>
    <x v="9"/>
    <n v="800"/>
    <s v="FINALIZADO"/>
    <s v="Conforme"/>
    <m/>
    <m/>
    <m/>
    <m/>
    <m/>
    <s v=""/>
    <s v=""/>
    <s v="2025-08"/>
  </r>
  <r>
    <x v="45"/>
    <x v="22"/>
    <n v="765"/>
    <s v="FINALIZADO"/>
    <s v="Conforme"/>
    <m/>
    <m/>
    <m/>
    <m/>
    <m/>
    <s v=""/>
    <s v=""/>
    <s v="2025-08"/>
  </r>
  <r>
    <x v="45"/>
    <x v="4"/>
    <n v="4000"/>
    <s v="FINALIZADO"/>
    <s v="Conforme"/>
    <m/>
    <m/>
    <m/>
    <m/>
    <m/>
    <s v=""/>
    <s v=""/>
    <s v="2025-08"/>
  </r>
  <r>
    <x v="45"/>
    <x v="8"/>
    <n v="1350"/>
    <s v="FINALIZADO"/>
    <s v="Conforme"/>
    <m/>
    <m/>
    <m/>
    <m/>
    <m/>
    <s v=""/>
    <s v=""/>
    <s v="2025-08"/>
  </r>
  <r>
    <x v="45"/>
    <x v="8"/>
    <n v="4050"/>
    <s v="FINALIZADO"/>
    <s v="Conforme"/>
    <m/>
    <m/>
    <m/>
    <m/>
    <m/>
    <s v=""/>
    <s v=""/>
    <s v="2025-08"/>
  </r>
  <r>
    <x v="45"/>
    <x v="2"/>
    <n v="10000"/>
    <s v="FINALIZADO"/>
    <s v="Conforme"/>
    <m/>
    <m/>
    <m/>
    <m/>
    <m/>
    <s v=""/>
    <s v=""/>
    <s v="2025-08"/>
  </r>
  <r>
    <x v="45"/>
    <x v="13"/>
    <n v="27200"/>
    <s v="FINALIZADO"/>
    <s v="Conforme"/>
    <m/>
    <m/>
    <m/>
    <m/>
    <m/>
    <s v=""/>
    <s v=""/>
    <s v="2025-08"/>
  </r>
  <r>
    <x v="45"/>
    <x v="25"/>
    <n v="2200"/>
    <s v="FINALIZADO"/>
    <s v="Conforme"/>
    <m/>
    <m/>
    <m/>
    <m/>
    <m/>
    <s v=""/>
    <s v=""/>
    <s v="2025-08"/>
  </r>
  <r>
    <x v="46"/>
    <x v="3"/>
    <n v="10400"/>
    <s v="FINALIZADO"/>
    <s v="Conforme"/>
    <m/>
    <m/>
    <m/>
    <m/>
    <m/>
    <s v=""/>
    <s v=""/>
    <s v="2025-08"/>
  </r>
  <r>
    <x v="47"/>
    <x v="3"/>
    <n v="10400"/>
    <s v="FINALIZADO"/>
    <s v="Conforme"/>
    <m/>
    <m/>
    <m/>
    <m/>
    <m/>
    <s v=""/>
    <s v=""/>
    <s v="2025-08"/>
  </r>
  <r>
    <x v="47"/>
    <x v="8"/>
    <n v="5400"/>
    <s v="FINALIZADO"/>
    <s v="Conforme"/>
    <m/>
    <m/>
    <m/>
    <m/>
    <m/>
    <s v=""/>
    <s v=""/>
    <s v="2025-08"/>
  </r>
  <r>
    <x v="47"/>
    <x v="25"/>
    <n v="6600"/>
    <s v="FINALIZADO"/>
    <s v="Conforme"/>
    <m/>
    <m/>
    <m/>
    <m/>
    <m/>
    <s v=""/>
    <s v=""/>
    <s v="2025-08"/>
  </r>
  <r>
    <x v="47"/>
    <x v="6"/>
    <n v="21000"/>
    <s v="FINALIZADO"/>
    <s v="Conforme"/>
    <m/>
    <m/>
    <m/>
    <m/>
    <m/>
    <s v=""/>
    <s v=""/>
    <s v="2025-08"/>
  </r>
  <r>
    <x v="47"/>
    <x v="2"/>
    <n v="10000"/>
    <s v="FINALIZADO"/>
    <s v="Conforme"/>
    <m/>
    <m/>
    <m/>
    <m/>
    <m/>
    <s v=""/>
    <s v=""/>
    <s v="2025-08"/>
  </r>
  <r>
    <x v="47"/>
    <x v="0"/>
    <n v="10000"/>
    <s v="FINALIZADO"/>
    <s v="Conforme"/>
    <m/>
    <m/>
    <m/>
    <m/>
    <m/>
    <s v=""/>
    <s v=""/>
    <s v="2025-08"/>
  </r>
  <r>
    <x v="48"/>
    <x v="25"/>
    <n v="1100"/>
    <s v="FINALIZADO"/>
    <s v="Conforme"/>
    <m/>
    <m/>
    <m/>
    <m/>
    <m/>
    <s v=""/>
    <s v=""/>
    <s v="2025-08"/>
  </r>
  <r>
    <x v="48"/>
    <x v="16"/>
    <n v="1250"/>
    <s v="FINALIZADO"/>
    <s v="Conforme"/>
    <m/>
    <m/>
    <m/>
    <m/>
    <m/>
    <s v=""/>
    <s v=""/>
    <s v="2025-08"/>
  </r>
  <r>
    <x v="48"/>
    <x v="6"/>
    <n v="1500"/>
    <s v="FINALIZADO"/>
    <s v="Conforme"/>
    <m/>
    <m/>
    <m/>
    <m/>
    <m/>
    <s v=""/>
    <s v=""/>
    <s v="2025-08"/>
  </r>
  <r>
    <x v="48"/>
    <x v="6"/>
    <n v="3000"/>
    <s v="FINALIZADO"/>
    <s v="Conforme"/>
    <m/>
    <m/>
    <m/>
    <m/>
    <m/>
    <s v=""/>
    <s v=""/>
    <s v="2025-08"/>
  </r>
  <r>
    <x v="48"/>
    <x v="6"/>
    <n v="3000"/>
    <s v="FINALIZADO"/>
    <s v="Conforme"/>
    <m/>
    <m/>
    <m/>
    <m/>
    <m/>
    <s v=""/>
    <s v=""/>
    <s v="2025-08"/>
  </r>
  <r>
    <x v="48"/>
    <x v="6"/>
    <n v="1500"/>
    <s v="FINALIZADO"/>
    <s v="Conforme"/>
    <m/>
    <m/>
    <m/>
    <m/>
    <m/>
    <s v=""/>
    <s v=""/>
    <s v="2025-08"/>
  </r>
  <r>
    <x v="48"/>
    <x v="19"/>
    <n v="8500"/>
    <s v="FINALIZADO"/>
    <s v="Conforme"/>
    <m/>
    <m/>
    <m/>
    <m/>
    <m/>
    <s v=""/>
    <s v=""/>
    <s v="2025-08"/>
  </r>
  <r>
    <x v="49"/>
    <x v="15"/>
    <n v="10000"/>
    <s v="FINALIZADO"/>
    <s v="Conforme"/>
    <m/>
    <m/>
    <m/>
    <m/>
    <m/>
    <s v=""/>
    <s v=""/>
    <s v="2025-09"/>
  </r>
  <r>
    <x v="49"/>
    <x v="19"/>
    <n v="8500"/>
    <s v="FINALIZADO"/>
    <s v="Conforme"/>
    <m/>
    <m/>
    <m/>
    <m/>
    <m/>
    <s v=""/>
    <s v=""/>
    <s v="2025-09"/>
  </r>
  <r>
    <x v="49"/>
    <x v="8"/>
    <n v="2700"/>
    <s v="FINALIZADO"/>
    <s v="Conforme"/>
    <m/>
    <m/>
    <m/>
    <m/>
    <m/>
    <s v=""/>
    <s v=""/>
    <s v="2025-09"/>
  </r>
  <r>
    <x v="50"/>
    <x v="4"/>
    <n v="1000"/>
    <s v="FINALIZADO"/>
    <s v="Conforme"/>
    <m/>
    <m/>
    <m/>
    <m/>
    <m/>
    <s v=""/>
    <s v=""/>
    <s v="2025-09"/>
  </r>
  <r>
    <x v="50"/>
    <x v="25"/>
    <n v="1100"/>
    <s v="FINALIZADO"/>
    <s v="Conforme"/>
    <m/>
    <m/>
    <m/>
    <m/>
    <m/>
    <s v=""/>
    <s v=""/>
    <s v="2025-09"/>
  </r>
  <r>
    <x v="50"/>
    <x v="2"/>
    <n v="10000"/>
    <s v="FINALIZADO"/>
    <s v="Conforme"/>
    <m/>
    <m/>
    <m/>
    <m/>
    <m/>
    <s v=""/>
    <s v=""/>
    <s v="2025-09"/>
  </r>
  <r>
    <x v="50"/>
    <x v="21"/>
    <n v="2100"/>
    <s v="FINALIZADO"/>
    <s v="Conforme"/>
    <m/>
    <m/>
    <m/>
    <m/>
    <m/>
    <s v=""/>
    <s v=""/>
    <s v="2025-09"/>
  </r>
  <r>
    <x v="51"/>
    <x v="8"/>
    <n v="6750"/>
    <s v="FINALIZADO"/>
    <s v="Conforme"/>
    <m/>
    <m/>
    <m/>
    <m/>
    <m/>
    <s v=""/>
    <s v=""/>
    <s v="2025-09"/>
  </r>
  <r>
    <x v="51"/>
    <x v="10"/>
    <n v="2700"/>
    <s v="FINALIZADO"/>
    <s v="Conforme"/>
    <m/>
    <m/>
    <m/>
    <m/>
    <m/>
    <s v=""/>
    <s v=""/>
    <s v="2025-09"/>
  </r>
  <r>
    <x v="51"/>
    <x v="2"/>
    <n v="10000"/>
    <s v="FINALIZADO"/>
    <s v="Conforme"/>
    <m/>
    <m/>
    <m/>
    <m/>
    <m/>
    <s v=""/>
    <s v=""/>
    <s v="2025-09"/>
  </r>
  <r>
    <x v="51"/>
    <x v="3"/>
    <n v="10400"/>
    <s v="FINALIZADO"/>
    <s v="Conforme"/>
    <m/>
    <m/>
    <m/>
    <m/>
    <m/>
    <s v=""/>
    <s v=""/>
    <s v="2025-09"/>
  </r>
  <r>
    <x v="52"/>
    <x v="8"/>
    <n v="8100"/>
    <s v="FINALIZADO"/>
    <s v="Conforme"/>
    <m/>
    <m/>
    <m/>
    <m/>
    <m/>
    <s v=""/>
    <s v=""/>
    <s v="2025-09"/>
  </r>
  <r>
    <x v="52"/>
    <x v="1"/>
    <n v="2000"/>
    <s v="FINALIZADO"/>
    <s v="Conforme"/>
    <m/>
    <m/>
    <m/>
    <m/>
    <m/>
    <s v=""/>
    <s v=""/>
    <s v="2025-09"/>
  </r>
  <r>
    <x v="52"/>
    <x v="2"/>
    <n v="10000"/>
    <s v="FINALIZADO"/>
    <s v="Conforme"/>
    <m/>
    <m/>
    <m/>
    <m/>
    <m/>
    <s v=""/>
    <s v=""/>
    <s v="2025-09"/>
  </r>
  <r>
    <x v="52"/>
    <x v="6"/>
    <n v="9000"/>
    <s v="FINALIZADO"/>
    <s v="Conforme"/>
    <m/>
    <m/>
    <m/>
    <m/>
    <m/>
    <s v=""/>
    <s v=""/>
    <s v="2025-09"/>
  </r>
  <r>
    <x v="52"/>
    <x v="0"/>
    <n v="16170"/>
    <s v="FINALIZADO"/>
    <s v="Conforme"/>
    <m/>
    <m/>
    <m/>
    <m/>
    <m/>
    <s v=""/>
    <s v=""/>
    <s v="2025-09"/>
  </r>
  <r>
    <x v="52"/>
    <x v="25"/>
    <n v="4400"/>
    <s v="FINALIZADO"/>
    <s v="Conforme"/>
    <m/>
    <m/>
    <m/>
    <m/>
    <m/>
    <s v=""/>
    <s v=""/>
    <s v="2025-09"/>
  </r>
  <r>
    <x v="53"/>
    <x v="6"/>
    <n v="3000"/>
    <s v="FINALIZADO"/>
    <s v="Conforme"/>
    <m/>
    <m/>
    <m/>
    <m/>
    <m/>
    <s v=""/>
    <s v=""/>
    <s v="2025-09"/>
  </r>
  <r>
    <x v="53"/>
    <x v="24"/>
    <n v="6000"/>
    <s v="FINALIZADO"/>
    <s v="Conforme"/>
    <m/>
    <m/>
    <m/>
    <m/>
    <m/>
    <s v=""/>
    <s v=""/>
    <s v="2025-09"/>
  </r>
  <r>
    <x v="53"/>
    <x v="12"/>
    <n v="1000"/>
    <s v="FINALIZADO"/>
    <s v="Conforme"/>
    <m/>
    <m/>
    <m/>
    <m/>
    <m/>
    <s v=""/>
    <s v=""/>
    <s v="2025-09"/>
  </r>
  <r>
    <x v="54"/>
    <x v="8"/>
    <n v="1350"/>
    <s v="FINALIZADO"/>
    <s v="Conforme"/>
    <m/>
    <m/>
    <m/>
    <m/>
    <m/>
    <s v=""/>
    <s v=""/>
    <s v="2025-09"/>
  </r>
  <r>
    <x v="54"/>
    <x v="16"/>
    <n v="1250"/>
    <s v="FINALIZADO"/>
    <s v="Conforme"/>
    <m/>
    <m/>
    <m/>
    <m/>
    <m/>
    <s v=""/>
    <s v=""/>
    <s v="2025-09"/>
  </r>
  <r>
    <x v="54"/>
    <x v="0"/>
    <n v="10000"/>
    <s v="FINALIZADO"/>
    <s v="Conforme"/>
    <m/>
    <m/>
    <m/>
    <m/>
    <m/>
    <s v=""/>
    <s v=""/>
    <s v="2025-09"/>
  </r>
  <r>
    <x v="54"/>
    <x v="6"/>
    <n v="9000"/>
    <s v="FINALIZADO"/>
    <s v="Conforme"/>
    <m/>
    <m/>
    <m/>
    <m/>
    <m/>
    <s v=""/>
    <s v=""/>
    <s v="2025-09"/>
  </r>
  <r>
    <x v="55"/>
    <x v="6"/>
    <n v="4500"/>
    <s v="FINALIZADO"/>
    <s v="Conforme"/>
    <m/>
    <m/>
    <m/>
    <m/>
    <m/>
    <s v=""/>
    <s v=""/>
    <s v="2025-09"/>
  </r>
  <r>
    <x v="55"/>
    <x v="10"/>
    <n v="900"/>
    <s v="FINALIZADO"/>
    <s v="Conforme"/>
    <m/>
    <m/>
    <m/>
    <m/>
    <m/>
    <s v=""/>
    <s v=""/>
    <s v="2025-09"/>
  </r>
  <r>
    <x v="55"/>
    <x v="0"/>
    <n v="10000"/>
    <s v="FINALIZADO"/>
    <s v="Conforme"/>
    <m/>
    <m/>
    <m/>
    <m/>
    <m/>
    <s v=""/>
    <s v=""/>
    <s v="2025-09"/>
  </r>
  <r>
    <x v="55"/>
    <x v="3"/>
    <n v="10400"/>
    <s v="FINALIZADO"/>
    <s v="Conforme"/>
    <m/>
    <m/>
    <m/>
    <m/>
    <m/>
    <s v=""/>
    <s v=""/>
    <s v="2025-09"/>
  </r>
  <r>
    <x v="55"/>
    <x v="19"/>
    <n v="8500"/>
    <s v="FINALIZADO"/>
    <s v="Conforme"/>
    <m/>
    <m/>
    <m/>
    <m/>
    <m/>
    <s v=""/>
    <s v=""/>
    <s v="2025-09"/>
  </r>
  <r>
    <x v="56"/>
    <x v="6"/>
    <n v="21200"/>
    <s v="FINALIZADO"/>
    <s v="Conforme"/>
    <m/>
    <m/>
    <m/>
    <m/>
    <m/>
    <s v=""/>
    <s v=""/>
    <s v="2025-09"/>
  </r>
  <r>
    <x v="56"/>
    <x v="21"/>
    <n v="3150"/>
    <s v="FINALIZADO"/>
    <s v="Conforme"/>
    <m/>
    <m/>
    <m/>
    <m/>
    <m/>
    <s v=""/>
    <s v=""/>
    <s v="2025-09"/>
  </r>
  <r>
    <x v="56"/>
    <x v="21"/>
    <n v="1050"/>
    <s v="FINALIZADO"/>
    <s v="Conforme"/>
    <m/>
    <m/>
    <m/>
    <m/>
    <m/>
    <s v=""/>
    <s v=""/>
    <s v="2025-09"/>
  </r>
  <r>
    <x v="56"/>
    <x v="3"/>
    <n v="10400"/>
    <s v="FINALIZADO"/>
    <s v="Conforme"/>
    <m/>
    <m/>
    <m/>
    <m/>
    <m/>
    <s v=""/>
    <s v=""/>
    <s v="2025-09"/>
  </r>
  <r>
    <x v="56"/>
    <x v="8"/>
    <n v="17550"/>
    <s v="FINALIZADO"/>
    <s v="Conforme"/>
    <m/>
    <m/>
    <m/>
    <m/>
    <m/>
    <s v=""/>
    <s v=""/>
    <s v="2025-09"/>
  </r>
  <r>
    <x v="57"/>
    <x v="3"/>
    <n v="10400"/>
    <s v="FINALIZADO"/>
    <s v="Conforme"/>
    <m/>
    <m/>
    <m/>
    <m/>
    <m/>
    <s v=""/>
    <s v=""/>
    <s v="2025-09"/>
  </r>
  <r>
    <x v="57"/>
    <x v="2"/>
    <n v="14000"/>
    <s v="FINALIZADO"/>
    <s v="Conforme"/>
    <m/>
    <m/>
    <m/>
    <m/>
    <m/>
    <s v=""/>
    <s v=""/>
    <s v="2025-09"/>
  </r>
  <r>
    <x v="57"/>
    <x v="10"/>
    <n v="1800"/>
    <s v="FINALIZADO"/>
    <s v="Conforme"/>
    <m/>
    <m/>
    <m/>
    <m/>
    <m/>
    <s v=""/>
    <s v=""/>
    <s v="2025-09"/>
  </r>
  <r>
    <x v="57"/>
    <x v="10"/>
    <n v="3600"/>
    <s v="FINALIZADO"/>
    <s v="Conforme"/>
    <m/>
    <m/>
    <m/>
    <m/>
    <m/>
    <s v=""/>
    <s v=""/>
    <s v="2025-09"/>
  </r>
  <r>
    <x v="57"/>
    <x v="9"/>
    <n v="1000"/>
    <s v="FINALIZADO"/>
    <s v="Conforme"/>
    <m/>
    <m/>
    <m/>
    <m/>
    <m/>
    <s v=""/>
    <s v=""/>
    <s v="2025-09"/>
  </r>
  <r>
    <x v="57"/>
    <x v="6"/>
    <n v="13550"/>
    <s v="FINALIZADO"/>
    <s v="Conforme"/>
    <m/>
    <m/>
    <m/>
    <m/>
    <m/>
    <s v=""/>
    <s v=""/>
    <s v="2025-09"/>
  </r>
  <r>
    <x v="57"/>
    <x v="25"/>
    <n v="1100"/>
    <s v="FINALIZADO"/>
    <s v="Conforme"/>
    <m/>
    <m/>
    <m/>
    <m/>
    <m/>
    <s v=""/>
    <s v=""/>
    <s v="2025-09"/>
  </r>
  <r>
    <x v="58"/>
    <x v="6"/>
    <n v="10550"/>
    <s v="FINALIZADO"/>
    <s v="Conforme"/>
    <m/>
    <m/>
    <m/>
    <m/>
    <m/>
    <s v=""/>
    <s v=""/>
    <s v="2025-09"/>
  </r>
  <r>
    <x v="58"/>
    <x v="0"/>
    <n v="8300"/>
    <s v="FINALIZADO"/>
    <s v="Conforme"/>
    <m/>
    <m/>
    <m/>
    <m/>
    <m/>
    <s v=""/>
    <s v=""/>
    <s v="2025-09"/>
  </r>
  <r>
    <x v="58"/>
    <x v="7"/>
    <n v="6300"/>
    <s v="FINALIZADO"/>
    <s v="Conforme"/>
    <m/>
    <m/>
    <m/>
    <m/>
    <m/>
    <s v=""/>
    <s v=""/>
    <s v="2025-09"/>
  </r>
  <r>
    <x v="58"/>
    <x v="3"/>
    <n v="10400"/>
    <s v="FINALIZADO"/>
    <s v="Conforme"/>
    <m/>
    <m/>
    <m/>
    <m/>
    <m/>
    <s v=""/>
    <s v=""/>
    <s v="2025-09"/>
  </r>
  <r>
    <x v="58"/>
    <x v="2"/>
    <n v="14000"/>
    <s v="FINALIZADO"/>
    <s v="Conforme"/>
    <m/>
    <m/>
    <m/>
    <m/>
    <m/>
    <s v=""/>
    <s v=""/>
    <s v="2025-09"/>
  </r>
  <r>
    <x v="58"/>
    <x v="16"/>
    <n v="1000"/>
    <s v="FINALIZADO"/>
    <s v="Conforme"/>
    <m/>
    <m/>
    <m/>
    <m/>
    <m/>
    <s v=""/>
    <s v=""/>
    <s v="2025-09"/>
  </r>
  <r>
    <x v="58"/>
    <x v="4"/>
    <n v="5400"/>
    <s v="FINALIZADO"/>
    <s v="Conforme"/>
    <m/>
    <m/>
    <m/>
    <m/>
    <m/>
    <s v=""/>
    <s v=""/>
    <s v="2025-09"/>
  </r>
  <r>
    <x v="58"/>
    <x v="4"/>
    <n v="4500"/>
    <s v="FINALIZADO"/>
    <s v="Conforme"/>
    <m/>
    <m/>
    <m/>
    <m/>
    <m/>
    <s v=""/>
    <s v=""/>
    <s v="2025-09"/>
  </r>
  <r>
    <x v="58"/>
    <x v="8"/>
    <n v="1350"/>
    <s v="FINALIZADO"/>
    <s v="Conforme"/>
    <m/>
    <m/>
    <m/>
    <m/>
    <m/>
    <s v=""/>
    <s v=""/>
    <s v="2025-09"/>
  </r>
  <r>
    <x v="58"/>
    <x v="10"/>
    <n v="3600"/>
    <s v="FINALIZADO"/>
    <s v="Conforme"/>
    <m/>
    <m/>
    <m/>
    <m/>
    <m/>
    <s v=""/>
    <s v=""/>
    <s v="2025-09"/>
  </r>
  <r>
    <x v="58"/>
    <x v="22"/>
    <n v="1100"/>
    <s v="FINALIZADO"/>
    <s v="Conforme"/>
    <m/>
    <m/>
    <m/>
    <m/>
    <m/>
    <s v=""/>
    <s v=""/>
    <s v="2025-09"/>
  </r>
  <r>
    <x v="58"/>
    <x v="22"/>
    <n v="1100"/>
    <s v="FINALIZADO"/>
    <s v="Conforme"/>
    <m/>
    <m/>
    <m/>
    <m/>
    <m/>
    <s v=""/>
    <s v=""/>
    <s v="2025-09"/>
  </r>
  <r>
    <x v="59"/>
    <x v="10"/>
    <n v="900"/>
    <s v="FINALIZADO"/>
    <s v="Conforme"/>
    <m/>
    <m/>
    <m/>
    <m/>
    <m/>
    <s v=""/>
    <s v=""/>
    <s v="2025-09"/>
  </r>
  <r>
    <x v="59"/>
    <x v="10"/>
    <n v="1800"/>
    <s v="FINALIZADO"/>
    <s v="Conforme"/>
    <m/>
    <m/>
    <m/>
    <m/>
    <m/>
    <s v=""/>
    <s v=""/>
    <s v="2025-09"/>
  </r>
  <r>
    <x v="59"/>
    <x v="30"/>
    <n v="2000"/>
    <s v="FINALIZADO"/>
    <s v="Conforme"/>
    <m/>
    <m/>
    <m/>
    <m/>
    <m/>
    <s v=""/>
    <s v=""/>
    <s v="2025-09"/>
  </r>
  <r>
    <x v="59"/>
    <x v="16"/>
    <n v="2250"/>
    <s v="FINALIZADO"/>
    <s v="Conforme"/>
    <m/>
    <m/>
    <m/>
    <m/>
    <m/>
    <s v=""/>
    <s v=""/>
    <s v="2025-09"/>
  </r>
  <r>
    <x v="59"/>
    <x v="8"/>
    <n v="1350"/>
    <s v="FINALIZADO"/>
    <s v="Conforme"/>
    <m/>
    <m/>
    <m/>
    <m/>
    <m/>
    <s v=""/>
    <s v=""/>
    <s v="2025-09"/>
  </r>
  <r>
    <x v="59"/>
    <x v="8"/>
    <n v="2700"/>
    <s v="FINALIZADO"/>
    <s v="Conforme"/>
    <m/>
    <m/>
    <m/>
    <m/>
    <m/>
    <s v=""/>
    <s v=""/>
    <s v="2025-09"/>
  </r>
  <r>
    <x v="59"/>
    <x v="8"/>
    <n v="2700"/>
    <s v="FINALIZADO"/>
    <s v="Conforme"/>
    <m/>
    <m/>
    <m/>
    <m/>
    <m/>
    <s v=""/>
    <s v=""/>
    <s v="2025-09"/>
  </r>
  <r>
    <x v="59"/>
    <x v="6"/>
    <n v="3000"/>
    <s v="FINALIZADO"/>
    <s v="Conforme"/>
    <m/>
    <m/>
    <m/>
    <m/>
    <m/>
    <s v=""/>
    <s v=""/>
    <s v="2025-09"/>
  </r>
  <r>
    <x v="60"/>
    <x v="3"/>
    <n v="10400"/>
    <s v="FINALIZADO"/>
    <s v="Conforme"/>
    <m/>
    <m/>
    <m/>
    <m/>
    <m/>
    <s v=""/>
    <s v=""/>
    <s v="2025-09"/>
  </r>
  <r>
    <x v="60"/>
    <x v="15"/>
    <n v="10000"/>
    <s v="FINALIZADO"/>
    <s v="Conforme"/>
    <m/>
    <m/>
    <m/>
    <m/>
    <m/>
    <s v=""/>
    <s v=""/>
    <s v="2025-09"/>
  </r>
  <r>
    <x v="60"/>
    <x v="24"/>
    <n v="240"/>
    <s v="FINALIZADO"/>
    <s v="Conforme"/>
    <m/>
    <m/>
    <m/>
    <m/>
    <m/>
    <s v=""/>
    <s v=""/>
    <s v="2025-09"/>
  </r>
  <r>
    <x v="60"/>
    <x v="6"/>
    <n v="3000"/>
    <s v="FINALIZADO"/>
    <s v="Conforme"/>
    <m/>
    <m/>
    <m/>
    <m/>
    <m/>
    <s v=""/>
    <s v=""/>
    <s v="2025-09"/>
  </r>
  <r>
    <x v="60"/>
    <x v="6"/>
    <n v="1500"/>
    <s v="FINALIZADO"/>
    <s v="Conforme"/>
    <m/>
    <m/>
    <m/>
    <m/>
    <m/>
    <s v=""/>
    <s v=""/>
    <s v="2025-09"/>
  </r>
  <r>
    <x v="60"/>
    <x v="6"/>
    <n v="1500"/>
    <s v="FINALIZADO"/>
    <s v="Conforme"/>
    <m/>
    <m/>
    <m/>
    <m/>
    <m/>
    <s v=""/>
    <s v=""/>
    <s v="2025-09"/>
  </r>
  <r>
    <x v="60"/>
    <x v="6"/>
    <n v="1500"/>
    <s v="FINALIZADO"/>
    <s v="Conforme"/>
    <m/>
    <m/>
    <m/>
    <m/>
    <m/>
    <s v=""/>
    <s v=""/>
    <s v="2025-09"/>
  </r>
  <r>
    <x v="60"/>
    <x v="6"/>
    <n v="1500"/>
    <s v="FINALIZADO"/>
    <s v="Conforme"/>
    <m/>
    <m/>
    <m/>
    <m/>
    <m/>
    <s v=""/>
    <s v=""/>
    <s v="2025-09"/>
  </r>
  <r>
    <x v="60"/>
    <x v="8"/>
    <n v="1350"/>
    <s v="FINALIZADO"/>
    <s v="Conforme"/>
    <m/>
    <m/>
    <m/>
    <m/>
    <m/>
    <s v=""/>
    <s v=""/>
    <s v="2025-09"/>
  </r>
  <r>
    <x v="60"/>
    <x v="25"/>
    <n v="12100"/>
    <s v="FINALIZADO"/>
    <s v="Conforme"/>
    <m/>
    <m/>
    <m/>
    <m/>
    <m/>
    <s v=""/>
    <s v=""/>
    <s v="2025-09"/>
  </r>
  <r>
    <x v="60"/>
    <x v="8"/>
    <n v="1400"/>
    <s v="FINALIZADO"/>
    <s v="Conforme"/>
    <m/>
    <m/>
    <m/>
    <m/>
    <m/>
    <s v=""/>
    <s v=""/>
    <s v="2025-09"/>
  </r>
  <r>
    <x v="60"/>
    <x v="24"/>
    <n v="3000"/>
    <s v="FINALIZADO"/>
    <s v="Conforme"/>
    <m/>
    <m/>
    <m/>
    <m/>
    <m/>
    <s v=""/>
    <s v=""/>
    <s v="2025-09"/>
  </r>
  <r>
    <x v="61"/>
    <x v="8"/>
    <n v="13500"/>
    <s v="FINALIZADO"/>
    <s v="Conforme"/>
    <m/>
    <m/>
    <m/>
    <m/>
    <m/>
    <s v=""/>
    <s v=""/>
    <s v="2025-09"/>
  </r>
  <r>
    <x v="61"/>
    <x v="8"/>
    <n v="2700"/>
    <s v="FINALIZADO"/>
    <s v="Conforme"/>
    <m/>
    <m/>
    <m/>
    <m/>
    <m/>
    <s v=""/>
    <s v=""/>
    <s v="2025-09"/>
  </r>
  <r>
    <x v="61"/>
    <x v="8"/>
    <n v="2700"/>
    <s v="FINALIZADO"/>
    <s v="Conforme"/>
    <m/>
    <m/>
    <m/>
    <m/>
    <m/>
    <s v=""/>
    <s v=""/>
    <s v="2025-09"/>
  </r>
  <r>
    <x v="61"/>
    <x v="6"/>
    <n v="6200"/>
    <s v="FINALIZADO"/>
    <s v="Conforme"/>
    <m/>
    <m/>
    <m/>
    <m/>
    <m/>
    <s v=""/>
    <s v=""/>
    <s v="2025-09"/>
  </r>
  <r>
    <x v="61"/>
    <x v="9"/>
    <n v="400"/>
    <s v="FINALIZADO"/>
    <s v="Conforme"/>
    <m/>
    <m/>
    <m/>
    <m/>
    <m/>
    <s v=""/>
    <s v=""/>
    <s v="2025-09"/>
  </r>
  <r>
    <x v="61"/>
    <x v="31"/>
    <n v="120"/>
    <s v="FINALIZADO"/>
    <s v="Conforme"/>
    <m/>
    <m/>
    <m/>
    <m/>
    <m/>
    <s v=""/>
    <s v=""/>
    <s v="2025-09"/>
  </r>
  <r>
    <x v="61"/>
    <x v="6"/>
    <n v="3000"/>
    <s v="FINALIZADO"/>
    <s v="Conforme"/>
    <m/>
    <m/>
    <m/>
    <m/>
    <m/>
    <s v=""/>
    <s v=""/>
    <s v="2025-09"/>
  </r>
  <r>
    <x v="61"/>
    <x v="9"/>
    <n v="1000"/>
    <s v="FINALIZADO"/>
    <s v="Conforme"/>
    <m/>
    <m/>
    <m/>
    <m/>
    <m/>
    <s v=""/>
    <s v=""/>
    <s v="2025-09"/>
  </r>
  <r>
    <x v="61"/>
    <x v="15"/>
    <n v="5000"/>
    <s v="FINALIZADO"/>
    <s v="Conforme"/>
    <m/>
    <m/>
    <m/>
    <m/>
    <m/>
    <s v=""/>
    <s v=""/>
    <s v="2025-09"/>
  </r>
  <r>
    <x v="61"/>
    <x v="10"/>
    <n v="1800"/>
    <s v="FINALIZADO"/>
    <s v="Conforme"/>
    <m/>
    <m/>
    <m/>
    <m/>
    <m/>
    <s v=""/>
    <s v=""/>
    <s v="2025-09"/>
  </r>
  <r>
    <x v="61"/>
    <x v="10"/>
    <n v="3600"/>
    <s v="FINALIZADO"/>
    <s v="Conforme"/>
    <m/>
    <m/>
    <m/>
    <m/>
    <m/>
    <s v=""/>
    <s v=""/>
    <s v="2025-09"/>
  </r>
  <r>
    <x v="61"/>
    <x v="32"/>
    <n v="1100"/>
    <s v="FINALIZADO"/>
    <s v="Conforme"/>
    <m/>
    <m/>
    <m/>
    <m/>
    <m/>
    <s v=""/>
    <s v=""/>
    <s v="2025-09"/>
  </r>
  <r>
    <x v="62"/>
    <x v="3"/>
    <n v="10400"/>
    <s v="FINALIZADO"/>
    <s v="Conforme"/>
    <m/>
    <m/>
    <m/>
    <m/>
    <m/>
    <s v=""/>
    <s v=""/>
    <s v="2025-09"/>
  </r>
  <r>
    <x v="62"/>
    <x v="0"/>
    <n v="8800"/>
    <s v="FINALIZADO"/>
    <s v="Conforme"/>
    <m/>
    <m/>
    <m/>
    <m/>
    <m/>
    <s v=""/>
    <s v=""/>
    <s v="2025-09"/>
  </r>
  <r>
    <x v="62"/>
    <x v="7"/>
    <n v="1050"/>
    <s v="FINALIZADO"/>
    <s v="Conforme"/>
    <m/>
    <m/>
    <m/>
    <m/>
    <m/>
    <s v=""/>
    <s v=""/>
    <s v="2025-09"/>
  </r>
  <r>
    <x v="62"/>
    <x v="8"/>
    <n v="3600"/>
    <s v="FINALIZADO"/>
    <s v="Conforme"/>
    <m/>
    <m/>
    <m/>
    <m/>
    <m/>
    <s v=""/>
    <s v=""/>
    <s v="2025-09"/>
  </r>
  <r>
    <x v="62"/>
    <x v="8"/>
    <n v="2700"/>
    <s v="FINALIZADO"/>
    <s v="Conforme"/>
    <m/>
    <m/>
    <m/>
    <m/>
    <m/>
    <s v=""/>
    <s v=""/>
    <s v="2025-09"/>
  </r>
  <r>
    <x v="62"/>
    <x v="8"/>
    <n v="5400"/>
    <s v="FINALIZADO"/>
    <s v="Conforme"/>
    <m/>
    <m/>
    <m/>
    <m/>
    <m/>
    <s v=""/>
    <s v=""/>
    <s v="2025-09"/>
  </r>
  <r>
    <x v="62"/>
    <x v="6"/>
    <n v="1500"/>
    <s v="FINALIZADO"/>
    <s v="Conforme"/>
    <m/>
    <m/>
    <m/>
    <m/>
    <m/>
    <s v=""/>
    <s v=""/>
    <s v="2025-09"/>
  </r>
  <r>
    <x v="62"/>
    <x v="6"/>
    <n v="3000"/>
    <s v="FINALIZADO"/>
    <s v="Conforme"/>
    <m/>
    <m/>
    <m/>
    <m/>
    <m/>
    <s v=""/>
    <s v=""/>
    <s v="2025-09"/>
  </r>
  <r>
    <x v="62"/>
    <x v="6"/>
    <n v="7500"/>
    <s v="FINALIZADO"/>
    <s v="Conforme"/>
    <m/>
    <m/>
    <m/>
    <m/>
    <m/>
    <s v=""/>
    <s v=""/>
    <s v="2025-09"/>
  </r>
  <r>
    <x v="62"/>
    <x v="1"/>
    <n v="1000"/>
    <s v="FINALIZADO"/>
    <s v="Conforme"/>
    <m/>
    <m/>
    <m/>
    <m/>
    <m/>
    <s v=""/>
    <s v=""/>
    <s v="2025-09"/>
  </r>
  <r>
    <x v="63"/>
    <x v="6"/>
    <n v="1500"/>
    <s v="FINALIZADO"/>
    <s v="Conforme"/>
    <m/>
    <m/>
    <m/>
    <m/>
    <m/>
    <s v=""/>
    <s v=""/>
    <s v="2025-09"/>
  </r>
  <r>
    <x v="63"/>
    <x v="8"/>
    <n v="4050"/>
    <s v="FINALIZADO"/>
    <s v="Conforme"/>
    <m/>
    <m/>
    <m/>
    <m/>
    <m/>
    <s v=""/>
    <s v=""/>
    <s v="2025-09"/>
  </r>
  <r>
    <x v="63"/>
    <x v="25"/>
    <n v="1100"/>
    <s v="FINALIZADO"/>
    <s v="Conforme"/>
    <m/>
    <m/>
    <m/>
    <m/>
    <m/>
    <s v=""/>
    <s v=""/>
    <s v="2025-09"/>
  </r>
  <r>
    <x v="63"/>
    <x v="12"/>
    <n v="1000"/>
    <s v="FINALIZADO"/>
    <s v="Conforme"/>
    <m/>
    <m/>
    <m/>
    <m/>
    <m/>
    <s v=""/>
    <s v=""/>
    <s v="2025-09"/>
  </r>
  <r>
    <x v="63"/>
    <x v="33"/>
    <n v="1000"/>
    <s v="FINALIZADO"/>
    <s v="Conforme"/>
    <m/>
    <m/>
    <m/>
    <m/>
    <m/>
    <s v=""/>
    <s v=""/>
    <s v="2025-09"/>
  </r>
  <r>
    <x v="63"/>
    <x v="10"/>
    <n v="900"/>
    <s v="FINALIZADO"/>
    <s v="Conforme"/>
    <m/>
    <m/>
    <m/>
    <m/>
    <m/>
    <s v=""/>
    <s v=""/>
    <s v="2025-09"/>
  </r>
  <r>
    <x v="63"/>
    <x v="2"/>
    <n v="9800"/>
    <s v="FINALIZADO"/>
    <s v="Conforme"/>
    <m/>
    <m/>
    <m/>
    <m/>
    <m/>
    <s v=""/>
    <s v=""/>
    <s v="2025-09"/>
  </r>
  <r>
    <x v="64"/>
    <x v="19"/>
    <n v="8500"/>
    <s v="FINALIZADO"/>
    <s v="Conforme"/>
    <m/>
    <m/>
    <m/>
    <m/>
    <m/>
    <s v=""/>
    <s v=""/>
    <s v="2025-09"/>
  </r>
  <r>
    <x v="64"/>
    <x v="3"/>
    <n v="1050"/>
    <s v="FINALIZADO"/>
    <s v="Conforme"/>
    <m/>
    <m/>
    <m/>
    <m/>
    <m/>
    <s v=""/>
    <s v=""/>
    <s v="2025-09"/>
  </r>
  <r>
    <x v="64"/>
    <x v="0"/>
    <n v="10000"/>
    <s v="FINALIZADO"/>
    <s v="Conforme"/>
    <m/>
    <m/>
    <m/>
    <m/>
    <m/>
    <s v=""/>
    <s v=""/>
    <s v="2025-09"/>
  </r>
  <r>
    <x v="64"/>
    <x v="3"/>
    <n v="10400"/>
    <s v="FINALIZADO"/>
    <s v="Conforme"/>
    <m/>
    <m/>
    <m/>
    <m/>
    <m/>
    <s v=""/>
    <s v=""/>
    <s v="2025-09"/>
  </r>
  <r>
    <x v="64"/>
    <x v="10"/>
    <n v="900"/>
    <s v="FINALIZADO"/>
    <s v="Conforme"/>
    <m/>
    <m/>
    <m/>
    <m/>
    <m/>
    <s v=""/>
    <s v=""/>
    <s v="2025-09"/>
  </r>
  <r>
    <x v="64"/>
    <x v="34"/>
    <n v="7000"/>
    <s v="FINALIZADO"/>
    <s v="Conforme"/>
    <m/>
    <m/>
    <m/>
    <m/>
    <m/>
    <s v=""/>
    <s v=""/>
    <s v="2025-09"/>
  </r>
  <r>
    <x v="65"/>
    <x v="8"/>
    <n v="1350"/>
    <s v="FINALIZADO"/>
    <s v="Conforme"/>
    <m/>
    <m/>
    <m/>
    <m/>
    <m/>
    <s v=""/>
    <s v=""/>
    <s v="2025-09"/>
  </r>
  <r>
    <x v="65"/>
    <x v="8"/>
    <n v="1350"/>
    <s v="FINALIZADO"/>
    <s v="Conforme"/>
    <m/>
    <m/>
    <m/>
    <m/>
    <m/>
    <s v=""/>
    <s v=""/>
    <s v="2025-09"/>
  </r>
  <r>
    <x v="66"/>
    <x v="8"/>
    <n v="4400"/>
    <s v="FINALIZADO"/>
    <s v="Conforme"/>
    <m/>
    <m/>
    <m/>
    <m/>
    <m/>
    <s v=""/>
    <s v=""/>
    <s v="2025-09"/>
  </r>
  <r>
    <x v="66"/>
    <x v="21"/>
    <n v="1050"/>
    <s v="FINALIZADO"/>
    <s v="Conforme"/>
    <m/>
    <m/>
    <m/>
    <m/>
    <m/>
    <s v=""/>
    <s v=""/>
    <s v="2025-09"/>
  </r>
  <r>
    <x v="66"/>
    <x v="6"/>
    <n v="9300"/>
    <s v="FINALIZADO"/>
    <s v="Conforme"/>
    <m/>
    <m/>
    <m/>
    <m/>
    <m/>
    <s v=""/>
    <s v=""/>
    <s v="2025-09"/>
  </r>
  <r>
    <x v="66"/>
    <x v="8"/>
    <n v="1300"/>
    <s v="FINALIZADO"/>
    <s v="Conforme"/>
    <m/>
    <m/>
    <m/>
    <m/>
    <m/>
    <s v=""/>
    <s v=""/>
    <s v="2025-09"/>
  </r>
  <r>
    <x v="66"/>
    <x v="8"/>
    <n v="4050"/>
    <s v="FINALIZADO"/>
    <s v="Conforme"/>
    <m/>
    <m/>
    <m/>
    <m/>
    <m/>
    <s v=""/>
    <s v=""/>
    <s v="2025-09"/>
  </r>
  <r>
    <x v="66"/>
    <x v="8"/>
    <n v="1350"/>
    <s v="FINALIZADO"/>
    <s v="Conforme"/>
    <m/>
    <m/>
    <m/>
    <m/>
    <m/>
    <s v=""/>
    <s v=""/>
    <s v="2025-09"/>
  </r>
  <r>
    <x v="66"/>
    <x v="10"/>
    <n v="900"/>
    <s v="FINALIZADO"/>
    <s v="Conforme"/>
    <m/>
    <m/>
    <m/>
    <m/>
    <m/>
    <s v=""/>
    <s v=""/>
    <s v="2025-09"/>
  </r>
  <r>
    <x v="67"/>
    <x v="3"/>
    <n v="10400"/>
    <s v="FINALIZADO"/>
    <s v="Conforme"/>
    <m/>
    <m/>
    <m/>
    <m/>
    <m/>
    <s v=""/>
    <s v=""/>
    <s v="2025-09"/>
  </r>
  <r>
    <x v="67"/>
    <x v="8"/>
    <n v="1350"/>
    <s v="FINALIZADO"/>
    <s v="Conforme"/>
    <m/>
    <m/>
    <m/>
    <m/>
    <m/>
    <s v=""/>
    <s v=""/>
    <s v="2025-09"/>
  </r>
  <r>
    <x v="67"/>
    <x v="8"/>
    <n v="1350"/>
    <s v="FINALIZADO"/>
    <s v="Conforme"/>
    <m/>
    <m/>
    <m/>
    <m/>
    <m/>
    <s v=""/>
    <s v=""/>
    <s v="2025-09"/>
  </r>
  <r>
    <x v="67"/>
    <x v="8"/>
    <n v="8100"/>
    <s v="FINALIZADO"/>
    <s v="Conforme"/>
    <m/>
    <m/>
    <m/>
    <m/>
    <m/>
    <s v=""/>
    <s v=""/>
    <s v="2025-09"/>
  </r>
  <r>
    <x v="67"/>
    <x v="8"/>
    <n v="1400"/>
    <s v="FINALIZADO"/>
    <s v="Conforme"/>
    <m/>
    <m/>
    <m/>
    <m/>
    <m/>
    <s v=""/>
    <s v=""/>
    <s v="2025-09"/>
  </r>
  <r>
    <x v="67"/>
    <x v="4"/>
    <n v="11100"/>
    <s v="FINALIZADO"/>
    <s v="Conforme"/>
    <m/>
    <m/>
    <m/>
    <m/>
    <m/>
    <s v=""/>
    <s v=""/>
    <s v="2025-09"/>
  </r>
  <r>
    <x v="67"/>
    <x v="22"/>
    <n v="1000"/>
    <s v="FINALIZADO"/>
    <s v="Conforme"/>
    <m/>
    <m/>
    <m/>
    <m/>
    <m/>
    <s v=""/>
    <s v=""/>
    <s v="2025-09"/>
  </r>
  <r>
    <x v="67"/>
    <x v="2"/>
    <n v="10000"/>
    <s v="FINALIZADO"/>
    <s v="Conforme"/>
    <m/>
    <m/>
    <m/>
    <m/>
    <m/>
    <s v=""/>
    <s v=""/>
    <s v="2025-09"/>
  </r>
  <r>
    <x v="68"/>
    <x v="3"/>
    <n v="10400"/>
    <s v="FINALIZADO"/>
    <s v="Conforme"/>
    <m/>
    <m/>
    <m/>
    <m/>
    <m/>
    <s v=""/>
    <s v=""/>
    <s v="2025-09"/>
  </r>
  <r>
    <x v="68"/>
    <x v="10"/>
    <n v="900"/>
    <s v="FINALIZADO"/>
    <s v="Conforme"/>
    <m/>
    <m/>
    <m/>
    <m/>
    <m/>
    <s v=""/>
    <s v=""/>
    <s v="2025-09"/>
  </r>
  <r>
    <x v="68"/>
    <x v="22"/>
    <n v="2000"/>
    <s v="FINALIZADO"/>
    <s v="Conforme"/>
    <m/>
    <m/>
    <m/>
    <m/>
    <m/>
    <s v=""/>
    <s v=""/>
    <s v="2025-09"/>
  </r>
  <r>
    <x v="69"/>
    <x v="3"/>
    <n v="10400"/>
    <s v="FINALIZADO"/>
    <s v="Conforme"/>
    <m/>
    <m/>
    <m/>
    <m/>
    <m/>
    <s v=""/>
    <s v=""/>
    <s v="2025-09"/>
  </r>
  <r>
    <x v="69"/>
    <x v="9"/>
    <n v="500"/>
    <s v="FINALIZADO"/>
    <s v="Conforme"/>
    <m/>
    <m/>
    <m/>
    <m/>
    <m/>
    <s v=""/>
    <s v=""/>
    <s v="2025-09"/>
  </r>
  <r>
    <x v="69"/>
    <x v="32"/>
    <n v="1100"/>
    <s v="FINALIZADO"/>
    <s v="Conforme"/>
    <m/>
    <m/>
    <m/>
    <m/>
    <m/>
    <s v=""/>
    <s v=""/>
    <s v="2025-09"/>
  </r>
  <r>
    <x v="70"/>
    <x v="0"/>
    <n v="16170"/>
    <s v="FINALIZADO"/>
    <s v="Conforme"/>
    <m/>
    <m/>
    <m/>
    <m/>
    <m/>
    <s v=""/>
    <s v=""/>
    <s v="2025-09"/>
  </r>
  <r>
    <x v="70"/>
    <x v="8"/>
    <n v="7500"/>
    <s v="FINALIZADO"/>
    <s v="Conforme"/>
    <m/>
    <m/>
    <m/>
    <m/>
    <m/>
    <s v=""/>
    <s v=""/>
    <s v="2025-09"/>
  </r>
  <r>
    <x v="71"/>
    <x v="35"/>
    <n v="2500"/>
    <s v="FINALIZADO"/>
    <s v="Conforme"/>
    <m/>
    <m/>
    <m/>
    <m/>
    <m/>
    <s v=""/>
    <s v=""/>
    <s v="2025-10"/>
  </r>
  <r>
    <x v="71"/>
    <x v="21"/>
    <n v="1050"/>
    <s v="FINALIZADO"/>
    <s v="Conforme"/>
    <m/>
    <m/>
    <m/>
    <m/>
    <m/>
    <s v=""/>
    <s v=""/>
    <s v="2025-10"/>
  </r>
  <r>
    <x v="71"/>
    <x v="16"/>
    <n v="1000"/>
    <s v="FINALIZADO"/>
    <s v="Conforme"/>
    <m/>
    <m/>
    <m/>
    <m/>
    <m/>
    <s v=""/>
    <s v=""/>
    <s v="2025-10"/>
  </r>
  <r>
    <x v="71"/>
    <x v="8"/>
    <n v="1350"/>
    <s v="FINALIZADO"/>
    <s v="Conforme"/>
    <m/>
    <m/>
    <m/>
    <m/>
    <m/>
    <s v=""/>
    <s v=""/>
    <s v="2025-10"/>
  </r>
  <r>
    <x v="71"/>
    <x v="8"/>
    <n v="5600"/>
    <s v="FINALIZADO"/>
    <s v="Conforme"/>
    <m/>
    <m/>
    <m/>
    <m/>
    <m/>
    <s v=""/>
    <s v=""/>
    <s v="2025-10"/>
  </r>
  <r>
    <x v="71"/>
    <x v="8"/>
    <n v="2700"/>
    <s v="FINALIZADO"/>
    <s v="Conforme"/>
    <m/>
    <m/>
    <m/>
    <m/>
    <m/>
    <s v=""/>
    <s v=""/>
    <s v="2025-10"/>
  </r>
  <r>
    <x v="71"/>
    <x v="8"/>
    <n v="5400"/>
    <s v="FINALIZADO"/>
    <s v="Conforme"/>
    <m/>
    <m/>
    <m/>
    <m/>
    <m/>
    <s v=""/>
    <s v=""/>
    <s v="2025-10"/>
  </r>
  <r>
    <x v="71"/>
    <x v="0"/>
    <n v="16170"/>
    <s v="FINALIZADO"/>
    <s v="Conforme"/>
    <m/>
    <m/>
    <m/>
    <m/>
    <m/>
    <s v=""/>
    <s v=""/>
    <s v="2025-10"/>
  </r>
  <r>
    <x v="71"/>
    <x v="10"/>
    <n v="900"/>
    <s v="FINALIZADO"/>
    <s v="Conforme"/>
    <m/>
    <m/>
    <m/>
    <m/>
    <m/>
    <s v=""/>
    <s v=""/>
    <s v="2025-10"/>
  </r>
  <r>
    <x v="72"/>
    <x v="12"/>
    <n v="1000"/>
    <s v="FINALIZADO"/>
    <s v="Conforme"/>
    <m/>
    <m/>
    <m/>
    <m/>
    <m/>
    <s v=""/>
    <s v=""/>
    <s v="2025-10"/>
  </r>
  <r>
    <x v="72"/>
    <x v="8"/>
    <n v="2700"/>
    <s v="FINALIZADO"/>
    <s v="Conforme"/>
    <m/>
    <m/>
    <m/>
    <m/>
    <m/>
    <s v=""/>
    <s v=""/>
    <s v="2025-10"/>
  </r>
  <r>
    <x v="72"/>
    <x v="8"/>
    <n v="5400"/>
    <s v="FINALIZADO"/>
    <s v="Conforme"/>
    <m/>
    <m/>
    <m/>
    <m/>
    <m/>
    <s v=""/>
    <s v=""/>
    <s v="2025-10"/>
  </r>
  <r>
    <x v="72"/>
    <x v="8"/>
    <n v="5400"/>
    <s v="FINALIZADO"/>
    <s v="Conforme"/>
    <m/>
    <m/>
    <m/>
    <m/>
    <m/>
    <s v=""/>
    <s v=""/>
    <s v="2025-10"/>
  </r>
  <r>
    <x v="72"/>
    <x v="8"/>
    <n v="2700"/>
    <s v="FINALIZADO"/>
    <s v="Conforme"/>
    <m/>
    <m/>
    <m/>
    <m/>
    <m/>
    <s v=""/>
    <s v=""/>
    <s v="2025-10"/>
  </r>
  <r>
    <x v="72"/>
    <x v="21"/>
    <n v="2100"/>
    <s v="FINALIZADO"/>
    <s v="Conforme"/>
    <m/>
    <m/>
    <m/>
    <m/>
    <m/>
    <s v=""/>
    <s v=""/>
    <s v="2025-10"/>
  </r>
  <r>
    <x v="72"/>
    <x v="1"/>
    <n v="1000"/>
    <s v="FINALIZADO"/>
    <s v="Conforme"/>
    <m/>
    <m/>
    <m/>
    <m/>
    <m/>
    <s v=""/>
    <s v=""/>
    <s v="2025-10"/>
  </r>
  <r>
    <x v="72"/>
    <x v="8"/>
    <n v="7500"/>
    <s v="FINALIZADO"/>
    <s v="Conforme"/>
    <m/>
    <m/>
    <m/>
    <m/>
    <m/>
    <s v=""/>
    <s v=""/>
    <s v="2025-10"/>
  </r>
  <r>
    <x v="73"/>
    <x v="16"/>
    <n v="1250"/>
    <s v="FINALIZADO"/>
    <s v="Conforme"/>
    <m/>
    <m/>
    <m/>
    <m/>
    <m/>
    <s v=""/>
    <s v=""/>
    <s v="2025-10"/>
  </r>
  <r>
    <x v="73"/>
    <x v="21"/>
    <n v="2100"/>
    <s v="FINALIZADO"/>
    <s v="Conforme"/>
    <m/>
    <m/>
    <m/>
    <m/>
    <m/>
    <s v=""/>
    <s v=""/>
    <s v="2025-10"/>
  </r>
  <r>
    <x v="73"/>
    <x v="9"/>
    <n v="500"/>
    <s v="FINALIZADO"/>
    <s v="Conforme"/>
    <m/>
    <m/>
    <m/>
    <m/>
    <m/>
    <s v=""/>
    <s v=""/>
    <s v="2025-10"/>
  </r>
  <r>
    <x v="73"/>
    <x v="8"/>
    <n v="4050"/>
    <s v="FINALIZADO"/>
    <s v="Conforme"/>
    <m/>
    <m/>
    <m/>
    <m/>
    <m/>
    <s v=""/>
    <s v=""/>
    <s v="2025-10"/>
  </r>
  <r>
    <x v="73"/>
    <x v="6"/>
    <n v="1500"/>
    <s v="FINALIZADO"/>
    <s v="Conforme"/>
    <m/>
    <m/>
    <m/>
    <m/>
    <m/>
    <s v=""/>
    <s v=""/>
    <s v="2025-10"/>
  </r>
  <r>
    <x v="73"/>
    <x v="2"/>
    <n v="10400"/>
    <s v="FINALIZADO"/>
    <s v="Conforme"/>
    <m/>
    <m/>
    <m/>
    <m/>
    <m/>
    <s v=""/>
    <s v=""/>
    <s v="2025-10"/>
  </r>
  <r>
    <x v="74"/>
    <x v="6"/>
    <n v="12000"/>
    <s v="FINALIZADO"/>
    <s v="Conforme"/>
    <m/>
    <m/>
    <m/>
    <m/>
    <m/>
    <s v=""/>
    <s v=""/>
    <s v="2025-10"/>
  </r>
  <r>
    <x v="74"/>
    <x v="0"/>
    <n v="16170"/>
    <s v="FINALIZADO"/>
    <s v="Conforme"/>
    <m/>
    <m/>
    <m/>
    <m/>
    <m/>
    <s v=""/>
    <s v=""/>
    <s v="2025-10"/>
  </r>
  <r>
    <x v="74"/>
    <x v="10"/>
    <n v="900"/>
    <s v="FINALIZADO"/>
    <s v="Conforme"/>
    <m/>
    <m/>
    <m/>
    <m/>
    <m/>
    <s v=""/>
    <s v=""/>
    <s v="2025-10"/>
  </r>
  <r>
    <x v="74"/>
    <x v="8"/>
    <n v="2700"/>
    <s v="FINALIZADO"/>
    <s v="Conforme"/>
    <m/>
    <m/>
    <m/>
    <m/>
    <m/>
    <s v=""/>
    <s v=""/>
    <s v="2025-10"/>
  </r>
  <r>
    <x v="74"/>
    <x v="8"/>
    <n v="1400"/>
    <s v="FINALIZADO"/>
    <s v="Conforme"/>
    <m/>
    <m/>
    <m/>
    <m/>
    <m/>
    <s v=""/>
    <s v=""/>
    <s v="2025-10"/>
  </r>
  <r>
    <x v="74"/>
    <x v="27"/>
    <n v="1000"/>
    <s v="FINALIZADO"/>
    <s v="Conforme"/>
    <m/>
    <m/>
    <m/>
    <m/>
    <m/>
    <s v=""/>
    <s v=""/>
    <s v="2025-10"/>
  </r>
  <r>
    <x v="74"/>
    <x v="12"/>
    <n v="1000"/>
    <s v="FINALIZADO"/>
    <s v="Conforme"/>
    <m/>
    <m/>
    <m/>
    <m/>
    <m/>
    <s v=""/>
    <s v=""/>
    <s v="2025-10"/>
  </r>
  <r>
    <x v="75"/>
    <x v="36"/>
    <n v="2500"/>
    <s v="FINALIZADO"/>
    <s v="Conforme"/>
    <m/>
    <m/>
    <m/>
    <m/>
    <m/>
    <s v=""/>
    <s v=""/>
    <s v="2025-10"/>
  </r>
  <r>
    <x v="75"/>
    <x v="3"/>
    <n v="10400"/>
    <s v="FINALIZADO"/>
    <s v="Conforme"/>
    <m/>
    <m/>
    <m/>
    <m/>
    <m/>
    <s v=""/>
    <s v=""/>
    <s v="2025-10"/>
  </r>
  <r>
    <x v="75"/>
    <x v="0"/>
    <n v="10000"/>
    <s v="FINALIZADO"/>
    <s v="Conforme"/>
    <m/>
    <m/>
    <m/>
    <m/>
    <m/>
    <s v=""/>
    <s v=""/>
    <s v="2025-10"/>
  </r>
  <r>
    <x v="75"/>
    <x v="8"/>
    <n v="13500"/>
    <s v="FINALIZADO"/>
    <s v="Conforme"/>
    <m/>
    <m/>
    <m/>
    <m/>
    <m/>
    <s v=""/>
    <s v=""/>
    <s v="2025-10"/>
  </r>
  <r>
    <x v="75"/>
    <x v="8"/>
    <n v="2700"/>
    <s v="FINALIZADO"/>
    <s v="Conforme"/>
    <m/>
    <m/>
    <m/>
    <m/>
    <m/>
    <s v=""/>
    <s v=""/>
    <s v="2025-10"/>
  </r>
  <r>
    <x v="75"/>
    <x v="8"/>
    <n v="1350"/>
    <s v="FINALIZADO"/>
    <s v="Conforme"/>
    <m/>
    <m/>
    <m/>
    <m/>
    <m/>
    <s v=""/>
    <s v=""/>
    <s v="2025-10"/>
  </r>
  <r>
    <x v="75"/>
    <x v="6"/>
    <n v="1500"/>
    <s v="FINALIZADO"/>
    <s v="Conforme"/>
    <m/>
    <m/>
    <m/>
    <m/>
    <m/>
    <s v=""/>
    <s v=""/>
    <s v="2025-10"/>
  </r>
  <r>
    <x v="75"/>
    <x v="6"/>
    <n v="3000"/>
    <s v="FINALIZADO"/>
    <s v="Conforme"/>
    <m/>
    <m/>
    <m/>
    <m/>
    <m/>
    <s v=""/>
    <s v=""/>
    <s v="2025-10"/>
  </r>
  <r>
    <x v="75"/>
    <x v="6"/>
    <n v="1550"/>
    <s v="FINALIZADO"/>
    <s v="Conforme"/>
    <m/>
    <m/>
    <m/>
    <m/>
    <m/>
    <s v=""/>
    <s v=""/>
    <s v="2025-10"/>
  </r>
  <r>
    <x v="76"/>
    <x v="8"/>
    <n v="1350"/>
    <s v="FINALIZADO"/>
    <s v="Conforme"/>
    <m/>
    <m/>
    <m/>
    <m/>
    <m/>
    <s v=""/>
    <s v=""/>
    <s v="2025-10"/>
  </r>
  <r>
    <x v="76"/>
    <x v="37"/>
    <n v="5800"/>
    <s v="FINALIZADO"/>
    <s v="Conforme"/>
    <m/>
    <m/>
    <m/>
    <m/>
    <m/>
    <s v=""/>
    <s v=""/>
    <s v="2025-10"/>
  </r>
  <r>
    <x v="76"/>
    <x v="8"/>
    <n v="4050"/>
    <s v="FINALIZADO"/>
    <s v="Conforme"/>
    <m/>
    <m/>
    <m/>
    <m/>
    <m/>
    <s v=""/>
    <s v=""/>
    <s v="2025-10"/>
  </r>
  <r>
    <x v="76"/>
    <x v="9"/>
    <n v="400"/>
    <s v="FINALIZADO"/>
    <s v="Conforme"/>
    <m/>
    <m/>
    <m/>
    <m/>
    <m/>
    <s v=""/>
    <s v=""/>
    <s v="2025-10"/>
  </r>
  <r>
    <x v="76"/>
    <x v="10"/>
    <n v="1800"/>
    <s v="FINALIZADO"/>
    <s v="Conforme"/>
    <m/>
    <m/>
    <m/>
    <m/>
    <m/>
    <s v=""/>
    <s v=""/>
    <s v="2025-10"/>
  </r>
  <r>
    <x v="76"/>
    <x v="7"/>
    <n v="1050"/>
    <s v="FINALIZADO"/>
    <s v="Conforme"/>
    <m/>
    <m/>
    <m/>
    <m/>
    <m/>
    <s v=""/>
    <s v=""/>
    <s v="2025-10"/>
  </r>
  <r>
    <x v="77"/>
    <x v="0"/>
    <n v="9000"/>
    <s v="FINALIZADO"/>
    <s v="Conforme"/>
    <m/>
    <m/>
    <m/>
    <m/>
    <m/>
    <s v=""/>
    <s v=""/>
    <s v="2025-10"/>
  </r>
  <r>
    <x v="77"/>
    <x v="10"/>
    <n v="900"/>
    <s v="FINALIZADO"/>
    <s v="Conforme"/>
    <m/>
    <m/>
    <m/>
    <m/>
    <m/>
    <s v=""/>
    <s v=""/>
    <s v="2025-10"/>
  </r>
  <r>
    <x v="77"/>
    <x v="4"/>
    <n v="11000"/>
    <s v="FINALIZADO"/>
    <s v="Conforme"/>
    <m/>
    <m/>
    <m/>
    <m/>
    <m/>
    <s v=""/>
    <s v=""/>
    <s v="2025-10"/>
  </r>
  <r>
    <x v="77"/>
    <x v="6"/>
    <n v="9000"/>
    <s v="FINALIZADO"/>
    <s v="Conforme"/>
    <m/>
    <m/>
    <m/>
    <m/>
    <m/>
    <s v=""/>
    <s v=""/>
    <s v="2025-10"/>
  </r>
  <r>
    <x v="78"/>
    <x v="25"/>
    <n v="1100"/>
    <s v="FINALIZADO"/>
    <s v="Conforme"/>
    <m/>
    <m/>
    <m/>
    <m/>
    <m/>
    <s v=""/>
    <s v=""/>
    <s v="2025-10"/>
  </r>
  <r>
    <x v="78"/>
    <x v="3"/>
    <n v="10400"/>
    <s v="FINALIZADO"/>
    <s v="Conforme"/>
    <m/>
    <m/>
    <m/>
    <m/>
    <m/>
    <s v=""/>
    <s v=""/>
    <s v="2025-10"/>
  </r>
  <r>
    <x v="78"/>
    <x v="19"/>
    <n v="8500"/>
    <s v="FINALIZADO"/>
    <s v="Conforme"/>
    <m/>
    <m/>
    <m/>
    <m/>
    <m/>
    <s v=""/>
    <s v=""/>
    <s v="2025-10"/>
  </r>
  <r>
    <x v="79"/>
    <x v="8"/>
    <n v="25650"/>
    <s v="FINALIZADO"/>
    <s v="Conforme"/>
    <m/>
    <m/>
    <m/>
    <m/>
    <m/>
    <s v=""/>
    <s v=""/>
    <s v="2025-10"/>
  </r>
  <r>
    <x v="79"/>
    <x v="25"/>
    <n v="1100"/>
    <s v="FINALIZADO"/>
    <s v="Conforme"/>
    <m/>
    <m/>
    <m/>
    <m/>
    <m/>
    <s v=""/>
    <s v=""/>
    <s v="2025-10"/>
  </r>
  <r>
    <x v="79"/>
    <x v="6"/>
    <n v="3000"/>
    <s v="FINALIZADO"/>
    <s v="Conforme"/>
    <m/>
    <m/>
    <m/>
    <m/>
    <m/>
    <s v=""/>
    <s v=""/>
    <s v="2025-10"/>
  </r>
  <r>
    <x v="79"/>
    <x v="38"/>
    <n v="320"/>
    <s v="FINALIZADO"/>
    <s v="Conforme"/>
    <m/>
    <m/>
    <m/>
    <m/>
    <m/>
    <s v=""/>
    <s v=""/>
    <s v="2025-10"/>
  </r>
  <r>
    <x v="80"/>
    <x v="0"/>
    <n v="8710"/>
    <s v="FINALIZADO"/>
    <s v="Conforme"/>
    <m/>
    <m/>
    <m/>
    <m/>
    <m/>
    <s v=""/>
    <s v=""/>
    <s v="2025-10"/>
  </r>
  <r>
    <x v="80"/>
    <x v="7"/>
    <n v="1050"/>
    <s v="FINALIZADO"/>
    <s v="Conforme"/>
    <m/>
    <m/>
    <m/>
    <m/>
    <m/>
    <s v=""/>
    <s v=""/>
    <s v="2025-10"/>
  </r>
  <r>
    <x v="80"/>
    <x v="25"/>
    <n v="4400"/>
    <s v="FINALIZADO"/>
    <s v="Conforme"/>
    <m/>
    <m/>
    <m/>
    <m/>
    <m/>
    <s v=""/>
    <s v=""/>
    <s v="2025-10"/>
  </r>
  <r>
    <x v="80"/>
    <x v="16"/>
    <n v="1250"/>
    <s v="FINALIZADO"/>
    <s v="Conforme"/>
    <m/>
    <m/>
    <m/>
    <m/>
    <m/>
    <s v=""/>
    <s v=""/>
    <s v="2025-10"/>
  </r>
  <r>
    <x v="80"/>
    <x v="21"/>
    <n v="1050"/>
    <s v="FINALIZADO"/>
    <s v="Conforme"/>
    <m/>
    <m/>
    <m/>
    <m/>
    <m/>
    <s v=""/>
    <s v=""/>
    <s v="2025-10"/>
  </r>
  <r>
    <x v="80"/>
    <x v="6"/>
    <n v="3000"/>
    <s v="FINALIZADO"/>
    <s v="Conforme"/>
    <m/>
    <m/>
    <m/>
    <m/>
    <m/>
    <s v=""/>
    <s v=""/>
    <s v="2025-10"/>
  </r>
  <r>
    <x v="80"/>
    <x v="6"/>
    <n v="7500"/>
    <s v="FINALIZADO"/>
    <s v="Conforme"/>
    <m/>
    <m/>
    <m/>
    <m/>
    <m/>
    <s v=""/>
    <s v=""/>
    <s v="2025-10"/>
  </r>
  <r>
    <x v="80"/>
    <x v="26"/>
    <n v="1000"/>
    <s v="FINALIZADO"/>
    <s v="Conforme"/>
    <m/>
    <m/>
    <m/>
    <m/>
    <m/>
    <s v=""/>
    <s v=""/>
    <s v="2025-10"/>
  </r>
  <r>
    <x v="81"/>
    <x v="4"/>
    <n v="1100"/>
    <s v="FINALIZADO"/>
    <s v="Conforme"/>
    <m/>
    <m/>
    <m/>
    <m/>
    <m/>
    <s v=""/>
    <s v=""/>
    <s v="2025-10"/>
  </r>
  <r>
    <x v="81"/>
    <x v="2"/>
    <n v="10000"/>
    <s v="FINALIZADO"/>
    <s v="Conforme"/>
    <m/>
    <m/>
    <m/>
    <m/>
    <m/>
    <s v=""/>
    <s v=""/>
    <s v="2025-10"/>
  </r>
  <r>
    <x v="81"/>
    <x v="15"/>
    <n v="9000"/>
    <s v="FINALIZADO"/>
    <s v="Conforme"/>
    <m/>
    <m/>
    <m/>
    <m/>
    <m/>
    <s v=""/>
    <s v=""/>
    <s v="2025-10"/>
  </r>
  <r>
    <x v="81"/>
    <x v="8"/>
    <n v="1350"/>
    <s v="FINALIZADO"/>
    <s v="Conforme"/>
    <m/>
    <m/>
    <m/>
    <m/>
    <m/>
    <s v=""/>
    <s v=""/>
    <s v="2025-10"/>
  </r>
  <r>
    <x v="81"/>
    <x v="8"/>
    <n v="9450"/>
    <s v="FINALIZADO"/>
    <s v="Conforme"/>
    <m/>
    <m/>
    <m/>
    <m/>
    <m/>
    <s v=""/>
    <s v=""/>
    <s v="2025-10"/>
  </r>
  <r>
    <x v="82"/>
    <x v="8"/>
    <n v="2700"/>
    <s v="FINALIZADO"/>
    <s v="Conforme"/>
    <m/>
    <m/>
    <m/>
    <m/>
    <m/>
    <s v=""/>
    <s v=""/>
    <s v="2025-10"/>
  </r>
  <r>
    <x v="82"/>
    <x v="10"/>
    <n v="900"/>
    <s v="FINALIZADO"/>
    <s v="Conforme"/>
    <m/>
    <m/>
    <m/>
    <m/>
    <m/>
    <s v=""/>
    <s v=""/>
    <s v="2025-10"/>
  </r>
  <r>
    <x v="82"/>
    <x v="39"/>
    <n v="1000"/>
    <s v="FINALIZADO"/>
    <s v="Conforme"/>
    <m/>
    <m/>
    <m/>
    <m/>
    <m/>
    <s v=""/>
    <s v=""/>
    <s v="2025-10"/>
  </r>
  <r>
    <x v="82"/>
    <x v="21"/>
    <n v="1050"/>
    <s v="FINALIZADO"/>
    <s v="Conforme"/>
    <m/>
    <m/>
    <m/>
    <m/>
    <m/>
    <s v=""/>
    <s v=""/>
    <s v="2025-10"/>
  </r>
  <r>
    <x v="82"/>
    <x v="21"/>
    <n v="3150"/>
    <s v="FINALIZADO"/>
    <s v="Conforme"/>
    <m/>
    <m/>
    <m/>
    <m/>
    <m/>
    <s v=""/>
    <s v=""/>
    <s v="2025-10"/>
  </r>
  <r>
    <x v="82"/>
    <x v="6"/>
    <n v="6000"/>
    <s v="FINALIZADO"/>
    <s v="Conforme"/>
    <m/>
    <m/>
    <m/>
    <m/>
    <m/>
    <s v=""/>
    <s v=""/>
    <s v="2025-10"/>
  </r>
  <r>
    <x v="83"/>
    <x v="2"/>
    <n v="10000"/>
    <s v="FINALIZADO"/>
    <s v="Conforme"/>
    <m/>
    <m/>
    <m/>
    <m/>
    <m/>
    <s v=""/>
    <s v=""/>
    <s v="2025-10"/>
  </r>
  <r>
    <x v="83"/>
    <x v="6"/>
    <n v="1500"/>
    <s v="FINALIZADO"/>
    <s v="Conforme"/>
    <m/>
    <m/>
    <m/>
    <m/>
    <m/>
    <s v=""/>
    <s v=""/>
    <s v="2025-10"/>
  </r>
  <r>
    <x v="83"/>
    <x v="6"/>
    <n v="1500"/>
    <s v="FINALIZADO"/>
    <s v="Conforme"/>
    <m/>
    <m/>
    <m/>
    <m/>
    <m/>
    <s v=""/>
    <s v=""/>
    <s v="2025-10"/>
  </r>
  <r>
    <x v="83"/>
    <x v="25"/>
    <n v="22000"/>
    <s v="FINALIZADO"/>
    <s v="Conforme"/>
    <m/>
    <m/>
    <m/>
    <m/>
    <m/>
    <s v=""/>
    <s v=""/>
    <s v="2025-10"/>
  </r>
  <r>
    <x v="83"/>
    <x v="4"/>
    <n v="8000"/>
    <s v="FINALIZADO"/>
    <s v="Conforme"/>
    <m/>
    <m/>
    <m/>
    <m/>
    <m/>
    <s v=""/>
    <s v=""/>
    <s v="2025-10"/>
  </r>
  <r>
    <x v="83"/>
    <x v="2"/>
    <n v="10000"/>
    <s v="FINALIZADO"/>
    <s v="Conforme"/>
    <m/>
    <m/>
    <m/>
    <m/>
    <m/>
    <s v=""/>
    <s v=""/>
    <s v="2025-10"/>
  </r>
  <r>
    <x v="84"/>
    <x v="6"/>
    <n v="7500"/>
    <s v="FINALIZADO"/>
    <s v="Conforme"/>
    <m/>
    <m/>
    <m/>
    <m/>
    <m/>
    <s v=""/>
    <s v=""/>
    <s v="2025-10"/>
  </r>
  <r>
    <x v="84"/>
    <x v="8"/>
    <n v="1350"/>
    <s v="FINALIZADO"/>
    <s v="Conforme"/>
    <m/>
    <m/>
    <m/>
    <m/>
    <m/>
    <s v=""/>
    <s v=""/>
    <s v="2025-10"/>
  </r>
  <r>
    <x v="84"/>
    <x v="16"/>
    <n v="1250"/>
    <s v="FINALIZADO"/>
    <s v="Conforme"/>
    <m/>
    <m/>
    <m/>
    <m/>
    <m/>
    <s v=""/>
    <s v=""/>
    <s v="2025-10"/>
  </r>
  <r>
    <x v="84"/>
    <x v="11"/>
    <n v="500"/>
    <s v="FINALIZADO"/>
    <s v="Conforme"/>
    <m/>
    <m/>
    <m/>
    <m/>
    <m/>
    <s v=""/>
    <s v=""/>
    <s v="2025-10"/>
  </r>
  <r>
    <x v="84"/>
    <x v="24"/>
    <n v="3000"/>
    <s v="FINALIZADO"/>
    <s v="Conforme"/>
    <m/>
    <m/>
    <m/>
    <m/>
    <m/>
    <s v=""/>
    <s v=""/>
    <s v="2025-10"/>
  </r>
  <r>
    <x v="85"/>
    <x v="3"/>
    <n v="10400"/>
    <s v="FINALIZADO"/>
    <s v="Conforme"/>
    <m/>
    <m/>
    <m/>
    <m/>
    <m/>
    <s v=""/>
    <s v=""/>
    <s v="2025-10"/>
  </r>
  <r>
    <x v="85"/>
    <x v="2"/>
    <n v="10000"/>
    <s v="FINALIZADO"/>
    <s v="Conforme"/>
    <m/>
    <m/>
    <m/>
    <m/>
    <m/>
    <s v=""/>
    <s v=""/>
    <s v="2025-10"/>
  </r>
  <r>
    <x v="85"/>
    <x v="10"/>
    <n v="3600"/>
    <s v="FINALIZADO"/>
    <s v="Conforme"/>
    <m/>
    <m/>
    <m/>
    <m/>
    <m/>
    <s v=""/>
    <s v=""/>
    <s v="2025-10"/>
  </r>
  <r>
    <x v="85"/>
    <x v="1"/>
    <n v="500"/>
    <s v="FINALIZADO"/>
    <s v="Conforme"/>
    <m/>
    <m/>
    <m/>
    <m/>
    <m/>
    <s v=""/>
    <s v=""/>
    <s v="2025-10"/>
  </r>
  <r>
    <x v="85"/>
    <x v="32"/>
    <n v="2200"/>
    <s v="FINALIZADO"/>
    <s v="Conforme"/>
    <m/>
    <m/>
    <m/>
    <m/>
    <m/>
    <s v=""/>
    <s v=""/>
    <s v="2025-10"/>
  </r>
  <r>
    <x v="85"/>
    <x v="0"/>
    <n v="6600"/>
    <s v="FINALIZADO"/>
    <s v="Conforme"/>
    <m/>
    <m/>
    <m/>
    <m/>
    <m/>
    <s v=""/>
    <s v=""/>
    <s v="2025-10"/>
  </r>
  <r>
    <x v="86"/>
    <x v="2"/>
    <n v="10000"/>
    <s v="FINALIZADO"/>
    <s v="Conforme"/>
    <m/>
    <m/>
    <m/>
    <m/>
    <m/>
    <s v=""/>
    <s v=""/>
    <s v="2025-10"/>
  </r>
  <r>
    <x v="86"/>
    <x v="8"/>
    <n v="2700"/>
    <s v="FINALIZADO"/>
    <s v="Conforme"/>
    <m/>
    <m/>
    <m/>
    <m/>
    <m/>
    <s v=""/>
    <s v=""/>
    <s v="2025-10"/>
  </r>
  <r>
    <x v="86"/>
    <x v="8"/>
    <n v="2700"/>
    <s v="FINALIZADO"/>
    <s v="Conforme"/>
    <m/>
    <m/>
    <m/>
    <m/>
    <m/>
    <s v=""/>
    <s v=""/>
    <s v="2025-10"/>
  </r>
  <r>
    <x v="86"/>
    <x v="8"/>
    <n v="4050"/>
    <s v="FINALIZADO"/>
    <s v="Conforme"/>
    <m/>
    <m/>
    <m/>
    <m/>
    <m/>
    <s v=""/>
    <s v=""/>
    <s v="2025-10"/>
  </r>
  <r>
    <x v="86"/>
    <x v="33"/>
    <n v="1000"/>
    <s v="FINALIZADO"/>
    <s v="Conforme"/>
    <m/>
    <m/>
    <m/>
    <m/>
    <m/>
    <s v=""/>
    <s v=""/>
    <s v="2025-10"/>
  </r>
  <r>
    <x v="86"/>
    <x v="12"/>
    <n v="2000"/>
    <s v="FINALIZADO"/>
    <s v="Conforme"/>
    <m/>
    <m/>
    <m/>
    <m/>
    <m/>
    <s v=""/>
    <s v=""/>
    <s v="2025-10"/>
  </r>
  <r>
    <x v="86"/>
    <x v="6"/>
    <n v="12300"/>
    <s v="FINALIZADO"/>
    <s v="Conforme"/>
    <m/>
    <m/>
    <m/>
    <m/>
    <m/>
    <s v=""/>
    <s v=""/>
    <s v="2025-10"/>
  </r>
  <r>
    <x v="86"/>
    <x v="25"/>
    <n v="1100"/>
    <s v="FINALIZADO"/>
    <s v="Conforme"/>
    <m/>
    <m/>
    <m/>
    <m/>
    <m/>
    <s v=""/>
    <s v=""/>
    <s v="2025-10"/>
  </r>
  <r>
    <x v="87"/>
    <x v="8"/>
    <n v="2600"/>
    <s v="FINALIZADO"/>
    <s v="Conforme"/>
    <m/>
    <m/>
    <m/>
    <m/>
    <m/>
    <s v=""/>
    <s v=""/>
    <s v="2025-10"/>
  </r>
  <r>
    <x v="87"/>
    <x v="8"/>
    <n v="6750"/>
    <s v="FINALIZADO"/>
    <s v="Conforme"/>
    <m/>
    <m/>
    <m/>
    <m/>
    <m/>
    <s v=""/>
    <s v=""/>
    <s v="2025-10"/>
  </r>
  <r>
    <x v="87"/>
    <x v="6"/>
    <n v="33000"/>
    <s v="FINALIZADO"/>
    <s v="Conforme"/>
    <m/>
    <m/>
    <m/>
    <m/>
    <m/>
    <s v=""/>
    <s v=""/>
    <s v="2025-10"/>
  </r>
  <r>
    <x v="87"/>
    <x v="10"/>
    <n v="3600"/>
    <s v="FINALIZADO"/>
    <s v="Conforme"/>
    <m/>
    <m/>
    <m/>
    <m/>
    <m/>
    <s v=""/>
    <s v=""/>
    <s v="2025-10"/>
  </r>
  <r>
    <x v="87"/>
    <x v="22"/>
    <n v="2000"/>
    <s v="FINALIZADO"/>
    <s v="Conforme"/>
    <m/>
    <m/>
    <m/>
    <m/>
    <m/>
    <s v=""/>
    <s v=""/>
    <s v="2025-10"/>
  </r>
  <r>
    <x v="87"/>
    <x v="25"/>
    <n v="7700"/>
    <s v="FINALIZADO"/>
    <s v="Conforme"/>
    <m/>
    <m/>
    <m/>
    <m/>
    <m/>
    <s v=""/>
    <s v=""/>
    <s v="2025-10"/>
  </r>
  <r>
    <x v="88"/>
    <x v="6"/>
    <n v="28500"/>
    <s v="FINALIZADO"/>
    <s v="Conforme"/>
    <m/>
    <m/>
    <m/>
    <m/>
    <m/>
    <s v=""/>
    <s v=""/>
    <s v="2025-10"/>
  </r>
  <r>
    <x v="88"/>
    <x v="3"/>
    <n v="22050"/>
    <s v="FINALIZADO"/>
    <s v="Conforme"/>
    <m/>
    <m/>
    <m/>
    <m/>
    <m/>
    <s v=""/>
    <s v=""/>
    <s v="2025-10"/>
  </r>
  <r>
    <x v="88"/>
    <x v="8"/>
    <n v="16200"/>
    <s v="FINALIZADO"/>
    <s v="Conforme"/>
    <m/>
    <m/>
    <m/>
    <m/>
    <m/>
    <s v=""/>
    <s v=""/>
    <s v="2025-10"/>
  </r>
  <r>
    <x v="88"/>
    <x v="0"/>
    <n v="14700"/>
    <s v="FINALIZADO"/>
    <s v="Conforme"/>
    <m/>
    <m/>
    <m/>
    <m/>
    <m/>
    <s v=""/>
    <s v=""/>
    <s v="2025-10"/>
  </r>
  <r>
    <x v="88"/>
    <x v="0"/>
    <n v="2100"/>
    <s v="FINALIZADO"/>
    <s v="Conforme"/>
    <m/>
    <m/>
    <m/>
    <m/>
    <m/>
    <s v=""/>
    <s v=""/>
    <s v="2025-10"/>
  </r>
  <r>
    <x v="88"/>
    <x v="30"/>
    <n v="1000"/>
    <s v="FINALIZADO"/>
    <s v="Conforme"/>
    <m/>
    <m/>
    <m/>
    <m/>
    <m/>
    <s v=""/>
    <s v=""/>
    <s v="2025-10"/>
  </r>
  <r>
    <x v="88"/>
    <x v="32"/>
    <n v="2100"/>
    <s v="FINALIZADO"/>
    <s v="Conforme"/>
    <m/>
    <m/>
    <m/>
    <m/>
    <m/>
    <s v=""/>
    <s v=""/>
    <s v="2025-10"/>
  </r>
  <r>
    <x v="88"/>
    <x v="17"/>
    <n v="210"/>
    <s v="FINALIZADO"/>
    <s v="Conforme"/>
    <m/>
    <m/>
    <m/>
    <m/>
    <m/>
    <s v=""/>
    <s v=""/>
    <s v="2025-10"/>
  </r>
  <r>
    <x v="88"/>
    <x v="31"/>
    <n v="60"/>
    <s v="FINALIZADO"/>
    <s v="Conforme"/>
    <m/>
    <m/>
    <m/>
    <m/>
    <m/>
    <s v=""/>
    <s v=""/>
    <s v="2025-10"/>
  </r>
  <r>
    <x v="88"/>
    <x v="25"/>
    <n v="12100"/>
    <s v="FINALIZADO"/>
    <s v="Conforme"/>
    <m/>
    <m/>
    <m/>
    <m/>
    <m/>
    <s v=""/>
    <s v=""/>
    <s v="2025-10"/>
  </r>
  <r>
    <x v="89"/>
    <x v="6"/>
    <n v="21000"/>
    <s v="FINALIZADO"/>
    <s v="Conforme"/>
    <m/>
    <m/>
    <m/>
    <m/>
    <m/>
    <s v=""/>
    <s v=""/>
    <s v="2025-10"/>
  </r>
  <r>
    <x v="89"/>
    <x v="0"/>
    <n v="16800"/>
    <s v="FINALIZADO"/>
    <s v="Conforme"/>
    <m/>
    <m/>
    <m/>
    <m/>
    <m/>
    <s v=""/>
    <s v=""/>
    <s v="2025-10"/>
  </r>
  <r>
    <x v="89"/>
    <x v="32"/>
    <n v="2100"/>
    <s v="FINALIZADO"/>
    <s v="Conforme"/>
    <m/>
    <m/>
    <m/>
    <m/>
    <m/>
    <s v=""/>
    <s v=""/>
    <s v="2025-10"/>
  </r>
  <r>
    <x v="89"/>
    <x v="30"/>
    <n v="1000"/>
    <s v="FINALIZADO"/>
    <s v="Conforme"/>
    <m/>
    <m/>
    <m/>
    <m/>
    <m/>
    <s v=""/>
    <s v=""/>
    <s v="2025-10"/>
  </r>
  <r>
    <x v="89"/>
    <x v="8"/>
    <n v="8100"/>
    <s v="FINALIZADO"/>
    <s v="Conforme"/>
    <m/>
    <m/>
    <m/>
    <m/>
    <m/>
    <s v=""/>
    <s v=""/>
    <s v="2025-10"/>
  </r>
  <r>
    <x v="89"/>
    <x v="4"/>
    <n v="1100"/>
    <s v="FINALIZADO"/>
    <s v="Conforme"/>
    <m/>
    <m/>
    <m/>
    <m/>
    <m/>
    <s v=""/>
    <s v=""/>
    <s v="2025-10"/>
  </r>
  <r>
    <x v="90"/>
    <x v="0"/>
    <n v="10500"/>
    <s v="FINALIZADO"/>
    <s v="Conforme"/>
    <m/>
    <m/>
    <m/>
    <m/>
    <m/>
    <s v=""/>
    <s v=""/>
    <s v="2025-10"/>
  </r>
  <r>
    <x v="90"/>
    <x v="8"/>
    <n v="8100"/>
    <s v="FINALIZADO"/>
    <s v="Conforme"/>
    <m/>
    <m/>
    <m/>
    <m/>
    <m/>
    <s v=""/>
    <s v=""/>
    <s v="2025-10"/>
  </r>
  <r>
    <x v="90"/>
    <x v="22"/>
    <n v="2000"/>
    <s v="FINALIZADO"/>
    <s v="Conforme"/>
    <m/>
    <m/>
    <m/>
    <m/>
    <m/>
    <s v=""/>
    <s v=""/>
    <s v="2025-10"/>
  </r>
  <r>
    <x v="90"/>
    <x v="4"/>
    <n v="13200"/>
    <s v="FINALIZADO"/>
    <s v="Conforme"/>
    <m/>
    <m/>
    <m/>
    <m/>
    <m/>
    <s v=""/>
    <s v=""/>
    <s v="2025-10"/>
  </r>
  <r>
    <x v="90"/>
    <x v="10"/>
    <n v="3600"/>
    <s v="FINALIZADO"/>
    <s v="Conforme"/>
    <m/>
    <m/>
    <m/>
    <m/>
    <m/>
    <s v=""/>
    <s v=""/>
    <s v="2025-10"/>
  </r>
  <r>
    <x v="90"/>
    <x v="27"/>
    <n v="1000"/>
    <s v="FINALIZADO"/>
    <s v="Conforme"/>
    <m/>
    <m/>
    <m/>
    <m/>
    <m/>
    <s v=""/>
    <s v=""/>
    <s v="2025-10"/>
  </r>
  <r>
    <x v="90"/>
    <x v="2"/>
    <n v="10500"/>
    <s v="FINALIZADO"/>
    <s v="Conforme"/>
    <m/>
    <m/>
    <m/>
    <m/>
    <m/>
    <s v=""/>
    <s v=""/>
    <s v="2025-10"/>
  </r>
  <r>
    <x v="91"/>
    <x v="6"/>
    <n v="9000"/>
    <s v="FINALIZADO"/>
    <s v="Conforme"/>
    <m/>
    <m/>
    <m/>
    <m/>
    <m/>
    <s v=""/>
    <s v=""/>
    <s v="2025-11"/>
  </r>
  <r>
    <x v="91"/>
    <x v="3"/>
    <n v="11550"/>
    <s v="FINALIZADO"/>
    <s v="Conforme"/>
    <m/>
    <m/>
    <m/>
    <m/>
    <m/>
    <s v=""/>
    <s v=""/>
    <s v="2025-11"/>
  </r>
  <r>
    <x v="91"/>
    <x v="12"/>
    <n v="2000"/>
    <s v="FINALIZADO"/>
    <s v="Conforme"/>
    <m/>
    <m/>
    <m/>
    <m/>
    <m/>
    <s v=""/>
    <s v=""/>
    <s v="2025-11"/>
  </r>
  <r>
    <x v="91"/>
    <x v="8"/>
    <n v="13500"/>
    <s v="FINALIZADO"/>
    <s v="Conforme"/>
    <m/>
    <m/>
    <m/>
    <m/>
    <m/>
    <s v=""/>
    <s v=""/>
    <s v="2025-11"/>
  </r>
  <r>
    <x v="91"/>
    <x v="24"/>
    <n v="4500"/>
    <s v="FINALIZADO"/>
    <s v="Conforme"/>
    <m/>
    <m/>
    <m/>
    <m/>
    <m/>
    <s v=""/>
    <s v=""/>
    <s v="2025-11"/>
  </r>
  <r>
    <x v="92"/>
    <x v="25"/>
    <n v="9900"/>
    <s v="FINALIZADO"/>
    <s v="Conforme"/>
    <m/>
    <m/>
    <m/>
    <m/>
    <m/>
    <s v=""/>
    <s v=""/>
    <s v="2025-11"/>
  </r>
  <r>
    <x v="92"/>
    <x v="6"/>
    <n v="12000"/>
    <s v="FINALIZADO"/>
    <s v="Conforme"/>
    <m/>
    <m/>
    <m/>
    <m/>
    <m/>
    <s v=""/>
    <s v=""/>
    <s v="2025-11"/>
  </r>
  <r>
    <x v="92"/>
    <x v="9"/>
    <n v="400"/>
    <s v="FINALIZADO"/>
    <s v="Conforme"/>
    <m/>
    <m/>
    <m/>
    <m/>
    <m/>
    <s v=""/>
    <s v=""/>
    <s v="2025-11"/>
  </r>
  <r>
    <x v="92"/>
    <x v="16"/>
    <n v="1250"/>
    <s v="FINALIZADO"/>
    <s v="Conforme"/>
    <m/>
    <m/>
    <m/>
    <m/>
    <m/>
    <s v=""/>
    <s v=""/>
    <s v="2025-11"/>
  </r>
  <r>
    <x v="92"/>
    <x v="8"/>
    <n v="5400"/>
    <s v="FINALIZADO"/>
    <s v="Conforme"/>
    <m/>
    <m/>
    <m/>
    <m/>
    <m/>
    <s v=""/>
    <s v=""/>
    <s v="2025-11"/>
  </r>
  <r>
    <x v="92"/>
    <x v="19"/>
    <n v="8500"/>
    <s v="FINALIZADO"/>
    <s v="Conforme"/>
    <m/>
    <m/>
    <m/>
    <m/>
    <m/>
    <s v=""/>
    <s v=""/>
    <s v="2025-11"/>
  </r>
  <r>
    <x v="92"/>
    <x v="0"/>
    <n v="10500"/>
    <s v="FINALIZADO"/>
    <s v="Conforme"/>
    <m/>
    <m/>
    <m/>
    <m/>
    <m/>
    <s v=""/>
    <s v=""/>
    <s v="2025-11"/>
  </r>
  <r>
    <x v="92"/>
    <x v="7"/>
    <n v="1050"/>
    <s v="FINALIZADO"/>
    <s v="Conforme"/>
    <m/>
    <m/>
    <m/>
    <m/>
    <m/>
    <s v=""/>
    <s v=""/>
    <s v="2025-11"/>
  </r>
  <r>
    <x v="93"/>
    <x v="8"/>
    <n v="5400"/>
    <s v="FINALIZADO"/>
    <s v="Conforme"/>
    <m/>
    <m/>
    <m/>
    <m/>
    <m/>
    <s v=""/>
    <s v=""/>
    <s v="2025-11"/>
  </r>
  <r>
    <x v="93"/>
    <x v="12"/>
    <n v="1000"/>
    <s v="FINALIZADO"/>
    <s v="Conforme"/>
    <m/>
    <m/>
    <m/>
    <m/>
    <m/>
    <s v=""/>
    <s v=""/>
    <s v="2025-11"/>
  </r>
  <r>
    <x v="93"/>
    <x v="15"/>
    <n v="10000"/>
    <s v="FINALIZADO"/>
    <s v="Conforme"/>
    <m/>
    <m/>
    <m/>
    <m/>
    <m/>
    <s v=""/>
    <s v=""/>
    <s v="2025-11"/>
  </r>
  <r>
    <x v="93"/>
    <x v="3"/>
    <n v="10400"/>
    <s v="FINALIZADO"/>
    <s v="Conforme"/>
    <m/>
    <m/>
    <m/>
    <m/>
    <m/>
    <s v=""/>
    <s v=""/>
    <s v="2025-11"/>
  </r>
  <r>
    <x v="93"/>
    <x v="38"/>
    <n v="650"/>
    <s v="FINALIZADO"/>
    <s v="Conforme"/>
    <m/>
    <m/>
    <m/>
    <m/>
    <m/>
    <s v=""/>
    <s v=""/>
    <s v="2025-11"/>
  </r>
  <r>
    <x v="94"/>
    <x v="8"/>
    <n v="5400"/>
    <s v="FINALIZADO"/>
    <s v="Conforme"/>
    <m/>
    <m/>
    <m/>
    <m/>
    <m/>
    <s v=""/>
    <s v=""/>
    <s v="2025-11"/>
  </r>
  <r>
    <x v="94"/>
    <x v="10"/>
    <n v="3600"/>
    <s v="FINALIZADO"/>
    <s v="Conforme"/>
    <m/>
    <m/>
    <m/>
    <m/>
    <m/>
    <s v=""/>
    <s v=""/>
    <s v="2025-11"/>
  </r>
  <r>
    <x v="94"/>
    <x v="24"/>
    <n v="4500"/>
    <s v="FINALIZADO"/>
    <s v="Conforme"/>
    <m/>
    <m/>
    <m/>
    <m/>
    <m/>
    <s v=""/>
    <s v=""/>
    <s v="2025-11"/>
  </r>
  <r>
    <x v="94"/>
    <x v="2"/>
    <n v="10500"/>
    <s v="FINALIZADO"/>
    <s v="Conforme"/>
    <m/>
    <m/>
    <m/>
    <m/>
    <m/>
    <s v=""/>
    <s v=""/>
    <s v="2025-11"/>
  </r>
  <r>
    <x v="94"/>
    <x v="6"/>
    <n v="3000"/>
    <s v="FINALIZADO"/>
    <s v="Conforme"/>
    <m/>
    <m/>
    <m/>
    <m/>
    <m/>
    <s v=""/>
    <s v=""/>
    <s v="2025-11"/>
  </r>
  <r>
    <x v="95"/>
    <x v="10"/>
    <n v="4500"/>
    <s v="FINALIZADO"/>
    <s v="Conforme"/>
    <m/>
    <m/>
    <m/>
    <m/>
    <m/>
    <s v=""/>
    <s v=""/>
    <s v="2025-11"/>
  </r>
  <r>
    <x v="95"/>
    <x v="8"/>
    <n v="8100"/>
    <s v="FINALIZADO"/>
    <s v="Conforme"/>
    <m/>
    <m/>
    <m/>
    <m/>
    <m/>
    <s v=""/>
    <s v=""/>
    <s v="2025-11"/>
  </r>
  <r>
    <x v="96"/>
    <x v="8"/>
    <n v="27000"/>
    <s v="FINALIZADO"/>
    <s v="Conforme"/>
    <m/>
    <m/>
    <m/>
    <m/>
    <m/>
    <s v=""/>
    <s v=""/>
    <s v="2025-11"/>
  </r>
  <r>
    <x v="96"/>
    <x v="2"/>
    <n v="10000"/>
    <s v="FINALIZADO"/>
    <s v="Conforme"/>
    <m/>
    <m/>
    <m/>
    <m/>
    <m/>
    <s v=""/>
    <s v=""/>
    <s v="2025-11"/>
  </r>
  <r>
    <x v="96"/>
    <x v="24"/>
    <n v="6000"/>
    <s v="FINALIZADO"/>
    <s v="Conforme"/>
    <m/>
    <m/>
    <m/>
    <m/>
    <m/>
    <s v=""/>
    <s v=""/>
    <s v="2025-11"/>
  </r>
  <r>
    <x v="96"/>
    <x v="6"/>
    <n v="19500"/>
    <s v="FINALIZADO"/>
    <s v="Conforme"/>
    <m/>
    <m/>
    <m/>
    <m/>
    <m/>
    <s v=""/>
    <s v=""/>
    <s v="2025-11"/>
  </r>
  <r>
    <x v="97"/>
    <x v="0"/>
    <n v="10000"/>
    <s v="FINALIZADO"/>
    <s v="Conforme"/>
    <m/>
    <m/>
    <m/>
    <m/>
    <m/>
    <s v=""/>
    <s v=""/>
    <s v="2025-11"/>
  </r>
  <r>
    <x v="97"/>
    <x v="3"/>
    <n v="10400"/>
    <s v="FINALIZADO"/>
    <s v="Conforme"/>
    <m/>
    <m/>
    <m/>
    <m/>
    <m/>
    <s v=""/>
    <s v=""/>
    <s v="2025-11"/>
  </r>
  <r>
    <x v="97"/>
    <x v="8"/>
    <n v="4050"/>
    <s v="FINALIZADO"/>
    <s v="Conforme"/>
    <m/>
    <m/>
    <m/>
    <m/>
    <m/>
    <s v=""/>
    <s v=""/>
    <s v="2025-11"/>
  </r>
  <r>
    <x v="97"/>
    <x v="5"/>
    <n v="650"/>
    <s v="FINALIZADO"/>
    <s v="Conforme"/>
    <m/>
    <m/>
    <m/>
    <m/>
    <m/>
    <s v=""/>
    <s v=""/>
    <s v="2025-11"/>
  </r>
  <r>
    <x v="97"/>
    <x v="10"/>
    <n v="4500"/>
    <s v="FINALIZADO"/>
    <s v="Conforme"/>
    <m/>
    <m/>
    <m/>
    <m/>
    <m/>
    <s v=""/>
    <s v=""/>
    <s v="2025-11"/>
  </r>
  <r>
    <x v="98"/>
    <x v="21"/>
    <n v="4200"/>
    <s v="FINALIZADO"/>
    <s v="Conforme"/>
    <m/>
    <m/>
    <m/>
    <m/>
    <m/>
    <s v=""/>
    <s v=""/>
    <s v="2025-11"/>
  </r>
  <r>
    <x v="98"/>
    <x v="30"/>
    <n v="1000"/>
    <s v="FINALIZADO"/>
    <s v="Conforme"/>
    <m/>
    <m/>
    <m/>
    <m/>
    <m/>
    <s v=""/>
    <s v=""/>
    <s v="2025-11"/>
  </r>
  <r>
    <x v="98"/>
    <x v="9"/>
    <n v="400"/>
    <s v="FINALIZADO"/>
    <s v="Conforme"/>
    <m/>
    <m/>
    <m/>
    <m/>
    <m/>
    <s v=""/>
    <s v=""/>
    <s v="2025-11"/>
  </r>
  <r>
    <x v="98"/>
    <x v="8"/>
    <n v="8100"/>
    <s v="FINALIZADO"/>
    <s v="Conforme"/>
    <m/>
    <m/>
    <m/>
    <m/>
    <m/>
    <s v=""/>
    <s v=""/>
    <s v="2025-11"/>
  </r>
  <r>
    <x v="98"/>
    <x v="4"/>
    <n v="12000"/>
    <s v="FINALIZADO"/>
    <s v="Conforme"/>
    <m/>
    <m/>
    <m/>
    <m/>
    <m/>
    <s v=""/>
    <s v=""/>
    <s v="2025-11"/>
  </r>
  <r>
    <x v="98"/>
    <x v="6"/>
    <n v="3000"/>
    <s v="FINALIZADO"/>
    <s v="Conforme"/>
    <m/>
    <m/>
    <m/>
    <m/>
    <m/>
    <s v=""/>
    <s v=""/>
    <s v="2025-11"/>
  </r>
  <r>
    <x v="99"/>
    <x v="21"/>
    <n v="1050"/>
    <s v="FINALIZADO"/>
    <s v="Conforme"/>
    <m/>
    <m/>
    <m/>
    <m/>
    <m/>
    <s v=""/>
    <s v=""/>
    <s v="2025-11"/>
  </r>
  <r>
    <x v="99"/>
    <x v="39"/>
    <n v="2000"/>
    <s v="FINALIZADO"/>
    <s v="Conforme"/>
    <m/>
    <m/>
    <m/>
    <m/>
    <m/>
    <s v=""/>
    <s v=""/>
    <s v="2025-11"/>
  </r>
  <r>
    <x v="99"/>
    <x v="30"/>
    <n v="1000"/>
    <s v="FINALIZADO"/>
    <s v="Conforme"/>
    <m/>
    <m/>
    <m/>
    <m/>
    <m/>
    <s v=""/>
    <s v=""/>
    <s v="2025-11"/>
  </r>
  <r>
    <x v="99"/>
    <x v="40"/>
    <n v="1000"/>
    <s v="FINALIZADO"/>
    <s v="Conforme"/>
    <m/>
    <m/>
    <m/>
    <m/>
    <m/>
    <s v=""/>
    <s v=""/>
    <s v="2025-11"/>
  </r>
  <r>
    <x v="99"/>
    <x v="1"/>
    <n v="3000"/>
    <s v="FINALIZADO"/>
    <s v="Conforme"/>
    <m/>
    <m/>
    <m/>
    <m/>
    <m/>
    <s v=""/>
    <s v=""/>
    <s v="2025-11"/>
  </r>
  <r>
    <x v="99"/>
    <x v="9"/>
    <n v="800"/>
    <s v="FINALIZADO"/>
    <s v="Conforme"/>
    <m/>
    <m/>
    <m/>
    <m/>
    <m/>
    <s v=""/>
    <s v=""/>
    <s v="2025-11"/>
  </r>
  <r>
    <x v="99"/>
    <x v="25"/>
    <n v="8800"/>
    <s v="FINALIZADO"/>
    <s v="Conforme"/>
    <m/>
    <m/>
    <m/>
    <m/>
    <m/>
    <s v=""/>
    <s v=""/>
    <s v="2025-11"/>
  </r>
  <r>
    <x v="99"/>
    <x v="15"/>
    <n v="8000"/>
    <s v="FINALIZADO"/>
    <s v="Conforme"/>
    <m/>
    <m/>
    <m/>
    <m/>
    <m/>
    <s v=""/>
    <s v=""/>
    <s v="2025-11"/>
  </r>
  <r>
    <x v="99"/>
    <x v="2"/>
    <n v="9200"/>
    <s v="FINALIZADO"/>
    <s v="Conforme"/>
    <m/>
    <m/>
    <m/>
    <m/>
    <m/>
    <s v=""/>
    <s v=""/>
    <s v="2025-11"/>
  </r>
  <r>
    <x v="99"/>
    <x v="6"/>
    <n v="6000"/>
    <s v="FINALIZADO"/>
    <s v="Conforme"/>
    <m/>
    <m/>
    <m/>
    <m/>
    <m/>
    <s v=""/>
    <s v=""/>
    <s v="2025-11"/>
  </r>
  <r>
    <x v="100"/>
    <x v="0"/>
    <n v="11000"/>
    <s v="FINALIZADO"/>
    <s v="Conforme"/>
    <m/>
    <m/>
    <m/>
    <m/>
    <m/>
    <s v=""/>
    <s v=""/>
    <s v="2025-11"/>
  </r>
  <r>
    <x v="100"/>
    <x v="24"/>
    <n v="15000"/>
    <s v="FINALIZADO"/>
    <s v="Conforme"/>
    <m/>
    <m/>
    <m/>
    <m/>
    <m/>
    <s v=""/>
    <s v=""/>
    <s v="2025-11"/>
  </r>
  <r>
    <x v="100"/>
    <x v="8"/>
    <n v="1350"/>
    <s v="FINALIZADO"/>
    <s v="Conforme"/>
    <m/>
    <m/>
    <m/>
    <m/>
    <m/>
    <s v=""/>
    <s v=""/>
    <s v="2025-11"/>
  </r>
  <r>
    <x v="100"/>
    <x v="8"/>
    <n v="1350"/>
    <s v="FINALIZADO"/>
    <s v="Conforme"/>
    <m/>
    <m/>
    <m/>
    <m/>
    <m/>
    <s v=""/>
    <s v=""/>
    <s v="2025-11"/>
  </r>
  <r>
    <x v="100"/>
    <x v="8"/>
    <n v="5400"/>
    <s v="FINALIZADO"/>
    <s v="Conforme"/>
    <m/>
    <m/>
    <m/>
    <m/>
    <m/>
    <s v=""/>
    <s v=""/>
    <s v="2025-11"/>
  </r>
  <r>
    <x v="100"/>
    <x v="8"/>
    <n v="1350"/>
    <s v="FINALIZADO"/>
    <s v="Conforme"/>
    <m/>
    <m/>
    <m/>
    <m/>
    <m/>
    <s v=""/>
    <s v=""/>
    <s v="2025-11"/>
  </r>
  <r>
    <x v="100"/>
    <x v="41"/>
    <n v="16500"/>
    <s v="FINALIZADO"/>
    <s v="Conforme"/>
    <m/>
    <m/>
    <m/>
    <m/>
    <m/>
    <s v=""/>
    <s v=""/>
    <s v="2025-11"/>
  </r>
  <r>
    <x v="101"/>
    <x v="8"/>
    <n v="1350"/>
    <s v="FINALIZADO"/>
    <s v="Conforme"/>
    <m/>
    <m/>
    <m/>
    <m/>
    <m/>
    <s v=""/>
    <s v=""/>
    <s v="2025-11"/>
  </r>
  <r>
    <x v="101"/>
    <x v="6"/>
    <n v="1550"/>
    <s v="FINALIZADO"/>
    <s v="Conforme"/>
    <m/>
    <m/>
    <m/>
    <m/>
    <m/>
    <s v=""/>
    <s v=""/>
    <s v="2025-11"/>
  </r>
  <r>
    <x v="101"/>
    <x v="8"/>
    <n v="1350"/>
    <s v="FINALIZADO"/>
    <s v="Conforme"/>
    <m/>
    <m/>
    <m/>
    <m/>
    <m/>
    <s v=""/>
    <s v=""/>
    <s v="2025-11"/>
  </r>
  <r>
    <x v="101"/>
    <x v="8"/>
    <n v="1300"/>
    <s v="FINALIZADO"/>
    <s v="Conforme"/>
    <m/>
    <m/>
    <m/>
    <m/>
    <m/>
    <s v=""/>
    <s v=""/>
    <s v="2025-11"/>
  </r>
  <r>
    <x v="101"/>
    <x v="1"/>
    <n v="1000"/>
    <s v="FINALIZADO"/>
    <s v="Conforme"/>
    <m/>
    <m/>
    <m/>
    <m/>
    <m/>
    <s v=""/>
    <s v=""/>
    <s v="2025-11"/>
  </r>
  <r>
    <x v="101"/>
    <x v="8"/>
    <n v="1350"/>
    <s v="FINALIZADO"/>
    <s v="Conforme"/>
    <m/>
    <m/>
    <m/>
    <m/>
    <m/>
    <s v=""/>
    <s v=""/>
    <s v="2025-11"/>
  </r>
  <r>
    <x v="101"/>
    <x v="8"/>
    <n v="5400"/>
    <s v="FINALIZADO"/>
    <s v="Conforme"/>
    <m/>
    <m/>
    <m/>
    <m/>
    <m/>
    <s v=""/>
    <s v=""/>
    <s v="2025-11"/>
  </r>
  <r>
    <x v="101"/>
    <x v="16"/>
    <n v="1250"/>
    <s v="FINALIZADO"/>
    <s v="Conforme"/>
    <m/>
    <m/>
    <m/>
    <m/>
    <m/>
    <s v=""/>
    <s v=""/>
    <s v="2025-11"/>
  </r>
  <r>
    <x v="101"/>
    <x v="3"/>
    <n v="10400"/>
    <s v="FINALIZADO"/>
    <s v="Conforme"/>
    <m/>
    <m/>
    <m/>
    <m/>
    <m/>
    <s v=""/>
    <s v=""/>
    <s v="2025-11"/>
  </r>
  <r>
    <x v="101"/>
    <x v="8"/>
    <n v="2700"/>
    <s v="FINALIZADO"/>
    <s v="Conforme"/>
    <m/>
    <m/>
    <m/>
    <m/>
    <m/>
    <s v=""/>
    <s v=""/>
    <s v="2025-11"/>
  </r>
  <r>
    <x v="101"/>
    <x v="22"/>
    <n v="1000"/>
    <s v="FINALIZADO"/>
    <s v="Conforme"/>
    <m/>
    <m/>
    <m/>
    <m/>
    <m/>
    <s v=""/>
    <s v=""/>
    <s v="2025-11"/>
  </r>
  <r>
    <x v="101"/>
    <x v="8"/>
    <n v="2700"/>
    <s v="FINALIZADO"/>
    <s v="Conforme"/>
    <m/>
    <m/>
    <m/>
    <m/>
    <m/>
    <s v=""/>
    <s v=""/>
    <s v="2025-11"/>
  </r>
  <r>
    <x v="101"/>
    <x v="21"/>
    <n v="1050"/>
    <s v="FINALIZADO"/>
    <s v="Conforme"/>
    <m/>
    <m/>
    <m/>
    <m/>
    <m/>
    <s v=""/>
    <s v=""/>
    <s v="2025-11"/>
  </r>
  <r>
    <x v="102"/>
    <x v="2"/>
    <n v="10000"/>
    <s v="FINALIZADO"/>
    <s v="Conforme"/>
    <m/>
    <m/>
    <m/>
    <m/>
    <m/>
    <s v=""/>
    <s v=""/>
    <s v="2025-11"/>
  </r>
  <r>
    <x v="103"/>
    <x v="2"/>
    <n v="8000"/>
    <s v="FINALIZADO"/>
    <s v="Conforme"/>
    <m/>
    <m/>
    <m/>
    <m/>
    <m/>
    <s v=""/>
    <s v=""/>
    <s v="2025-11"/>
  </r>
  <r>
    <x v="103"/>
    <x v="0"/>
    <n v="10000"/>
    <s v="FINALIZADO"/>
    <s v="Conforme"/>
    <m/>
    <m/>
    <m/>
    <m/>
    <m/>
    <s v=""/>
    <s v=""/>
    <s v="2025-11"/>
  </r>
  <r>
    <x v="103"/>
    <x v="0"/>
    <n v="10000"/>
    <s v="FINALIZADO"/>
    <s v="Conforme"/>
    <m/>
    <m/>
    <m/>
    <m/>
    <m/>
    <s v=""/>
    <s v=""/>
    <s v="2025-11"/>
  </r>
  <r>
    <x v="103"/>
    <x v="2"/>
    <n v="10000"/>
    <s v="FINALIZADO"/>
    <s v="Conforme"/>
    <m/>
    <m/>
    <m/>
    <m/>
    <m/>
    <s v=""/>
    <s v=""/>
    <s v="2025-11"/>
  </r>
  <r>
    <x v="103"/>
    <x v="18"/>
    <n v="400"/>
    <s v="FINALIZADO"/>
    <s v="Conforme"/>
    <m/>
    <m/>
    <m/>
    <m/>
    <m/>
    <s v=""/>
    <s v=""/>
    <s v="2025-11"/>
  </r>
  <r>
    <x v="103"/>
    <x v="8"/>
    <n v="1300"/>
    <s v="FINALIZADO"/>
    <s v="Conforme"/>
    <m/>
    <m/>
    <m/>
    <m/>
    <m/>
    <s v=""/>
    <s v=""/>
    <s v="2025-11"/>
  </r>
  <r>
    <x v="103"/>
    <x v="8"/>
    <n v="1350"/>
    <s v="FINALIZADO"/>
    <s v="Conforme"/>
    <m/>
    <m/>
    <m/>
    <m/>
    <m/>
    <s v=""/>
    <s v=""/>
    <s v="2025-11"/>
  </r>
  <r>
    <x v="103"/>
    <x v="6"/>
    <n v="3000"/>
    <s v="FINALIZADO"/>
    <s v="Conforme"/>
    <m/>
    <m/>
    <m/>
    <m/>
    <m/>
    <s v=""/>
    <s v=""/>
    <s v="2025-11"/>
  </r>
  <r>
    <x v="104"/>
    <x v="27"/>
    <n v="1000"/>
    <s v="FINALIZADO"/>
    <s v="Conforme"/>
    <m/>
    <m/>
    <m/>
    <m/>
    <m/>
    <s v=""/>
    <s v=""/>
    <s v="2025-11"/>
  </r>
  <r>
    <x v="104"/>
    <x v="13"/>
    <n v="20800"/>
    <s v="FINALIZADO"/>
    <s v="Conforme"/>
    <m/>
    <m/>
    <m/>
    <m/>
    <m/>
    <s v=""/>
    <s v=""/>
    <s v="2025-11"/>
  </r>
  <r>
    <x v="104"/>
    <x v="8"/>
    <n v="1350"/>
    <s v="FINALIZADO"/>
    <s v="Conforme"/>
    <m/>
    <m/>
    <m/>
    <m/>
    <m/>
    <s v=""/>
    <s v=""/>
    <s v="2025-11"/>
  </r>
  <r>
    <x v="104"/>
    <x v="25"/>
    <n v="1100"/>
    <s v="FINALIZADO"/>
    <s v="Conforme"/>
    <m/>
    <m/>
    <m/>
    <m/>
    <m/>
    <s v=""/>
    <s v=""/>
    <s v="2025-11"/>
  </r>
  <r>
    <x v="104"/>
    <x v="19"/>
    <n v="8500"/>
    <s v="FINALIZADO"/>
    <s v="Conforme"/>
    <m/>
    <m/>
    <m/>
    <m/>
    <m/>
    <s v=""/>
    <s v=""/>
    <s v="2025-11"/>
  </r>
  <r>
    <x v="104"/>
    <x v="15"/>
    <n v="10000"/>
    <s v="FINALIZADO"/>
    <s v="Conforme"/>
    <m/>
    <m/>
    <m/>
    <m/>
    <m/>
    <s v=""/>
    <s v=""/>
    <s v="2025-11"/>
  </r>
  <r>
    <x v="105"/>
    <x v="16"/>
    <n v="1250"/>
    <s v="FINALIZADO"/>
    <s v="Conforme"/>
    <m/>
    <m/>
    <m/>
    <m/>
    <m/>
    <s v=""/>
    <s v=""/>
    <s v="2025-11"/>
  </r>
  <r>
    <x v="105"/>
    <x v="8"/>
    <n v="4050"/>
    <s v="FINALIZADO"/>
    <s v="Conforme"/>
    <m/>
    <m/>
    <m/>
    <m/>
    <m/>
    <s v=""/>
    <s v=""/>
    <s v="2025-11"/>
  </r>
  <r>
    <x v="105"/>
    <x v="8"/>
    <n v="1350"/>
    <s v="FINALIZADO"/>
    <s v="Conforme"/>
    <m/>
    <m/>
    <m/>
    <m/>
    <m/>
    <s v=""/>
    <s v=""/>
    <s v="2025-11"/>
  </r>
  <r>
    <x v="105"/>
    <x v="8"/>
    <n v="10800"/>
    <s v="FINALIZADO"/>
    <s v="Conforme"/>
    <m/>
    <m/>
    <m/>
    <m/>
    <m/>
    <s v=""/>
    <s v=""/>
    <s v="2025-11"/>
  </r>
  <r>
    <x v="105"/>
    <x v="8"/>
    <n v="5400"/>
    <s v="FINALIZADO"/>
    <s v="Conforme"/>
    <m/>
    <m/>
    <m/>
    <m/>
    <m/>
    <s v=""/>
    <s v=""/>
    <s v="2025-11"/>
  </r>
  <r>
    <x v="105"/>
    <x v="10"/>
    <n v="3600"/>
    <s v="FINALIZADO"/>
    <s v="Conforme"/>
    <m/>
    <m/>
    <m/>
    <m/>
    <m/>
    <s v=""/>
    <s v=""/>
    <s v="2025-11"/>
  </r>
  <r>
    <x v="105"/>
    <x v="10"/>
    <n v="900"/>
    <s v="FINALIZADO"/>
    <s v="Conforme"/>
    <m/>
    <m/>
    <m/>
    <m/>
    <m/>
    <s v=""/>
    <s v=""/>
    <s v="2025-11"/>
  </r>
  <r>
    <x v="105"/>
    <x v="6"/>
    <n v="1500"/>
    <s v="FINALIZADO"/>
    <s v="Conforme"/>
    <m/>
    <m/>
    <m/>
    <m/>
    <m/>
    <s v=""/>
    <s v=""/>
    <s v="2025-11"/>
  </r>
  <r>
    <x v="105"/>
    <x v="6"/>
    <n v="3000"/>
    <s v="FINALIZADO"/>
    <s v="Conforme"/>
    <m/>
    <m/>
    <m/>
    <m/>
    <m/>
    <s v=""/>
    <s v=""/>
    <s v="2025-11"/>
  </r>
  <r>
    <x v="105"/>
    <x v="6"/>
    <n v="7500"/>
    <s v="FINALIZADO"/>
    <s v="Conforme"/>
    <m/>
    <m/>
    <m/>
    <m/>
    <m/>
    <s v=""/>
    <s v=""/>
    <s v="2025-11"/>
  </r>
  <r>
    <x v="105"/>
    <x v="9"/>
    <n v="800"/>
    <s v="FINALIZADO"/>
    <s v="Conforme"/>
    <m/>
    <m/>
    <m/>
    <m/>
    <m/>
    <s v=""/>
    <s v=""/>
    <s v="2025-11"/>
  </r>
  <r>
    <x v="105"/>
    <x v="10"/>
    <n v="900"/>
    <s v="FINALIZADO"/>
    <s v="Conforme"/>
    <m/>
    <m/>
    <m/>
    <m/>
    <m/>
    <s v=""/>
    <s v=""/>
    <s v="2025-11"/>
  </r>
  <r>
    <x v="106"/>
    <x v="2"/>
    <n v="10000"/>
    <s v="FINALIZADO"/>
    <s v="Conforme"/>
    <m/>
    <m/>
    <m/>
    <m/>
    <m/>
    <s v=""/>
    <s v=""/>
    <s v="2025-11"/>
  </r>
  <r>
    <x v="106"/>
    <x v="4"/>
    <n v="1100"/>
    <s v="FINALIZADO"/>
    <s v="Conforme"/>
    <m/>
    <m/>
    <m/>
    <m/>
    <m/>
    <s v=""/>
    <s v=""/>
    <s v="2025-11"/>
  </r>
  <r>
    <x v="106"/>
    <x v="8"/>
    <n v="2700"/>
    <s v="FINALIZADO"/>
    <s v="Conforme"/>
    <m/>
    <m/>
    <m/>
    <m/>
    <m/>
    <s v=""/>
    <s v=""/>
    <s v="2025-11"/>
  </r>
  <r>
    <x v="106"/>
    <x v="38"/>
    <n v="650"/>
    <s v="FINALIZADO"/>
    <s v="Conforme"/>
    <m/>
    <m/>
    <m/>
    <m/>
    <m/>
    <s v=""/>
    <s v=""/>
    <s v="2025-11"/>
  </r>
  <r>
    <x v="106"/>
    <x v="10"/>
    <n v="1800"/>
    <s v="FINALIZADO"/>
    <s v="Conforme"/>
    <m/>
    <m/>
    <m/>
    <m/>
    <m/>
    <s v=""/>
    <s v=""/>
    <s v="2025-11"/>
  </r>
  <r>
    <x v="106"/>
    <x v="15"/>
    <n v="10000"/>
    <s v="FINALIZADO"/>
    <s v="Conforme"/>
    <m/>
    <m/>
    <m/>
    <m/>
    <m/>
    <s v=""/>
    <s v=""/>
    <s v="2025-11"/>
  </r>
  <r>
    <x v="107"/>
    <x v="25"/>
    <n v="2200"/>
    <s v="FINALIZADO"/>
    <s v="Conforme"/>
    <m/>
    <m/>
    <m/>
    <m/>
    <m/>
    <s v=""/>
    <s v=""/>
    <s v="2025-12"/>
  </r>
  <r>
    <x v="107"/>
    <x v="2"/>
    <n v="10000"/>
    <s v="FINALIZADO"/>
    <s v="Conforme"/>
    <m/>
    <m/>
    <m/>
    <m/>
    <m/>
    <s v=""/>
    <s v=""/>
    <s v="2025-12"/>
  </r>
  <r>
    <x v="107"/>
    <x v="0"/>
    <n v="16000"/>
    <s v="FINALIZADO"/>
    <s v="Conforme"/>
    <m/>
    <m/>
    <m/>
    <m/>
    <m/>
    <s v=""/>
    <s v=""/>
    <s v="2025-12"/>
  </r>
  <r>
    <x v="107"/>
    <x v="8"/>
    <n v="1350"/>
    <s v="FINALIZADO"/>
    <s v="Conforme"/>
    <m/>
    <m/>
    <m/>
    <m/>
    <m/>
    <s v=""/>
    <s v=""/>
    <s v="2025-12"/>
  </r>
  <r>
    <x v="107"/>
    <x v="10"/>
    <n v="900"/>
    <s v="FINALIZADO"/>
    <s v="Conforme"/>
    <m/>
    <m/>
    <m/>
    <m/>
    <m/>
    <s v=""/>
    <s v=""/>
    <s v="2025-12"/>
  </r>
  <r>
    <x v="107"/>
    <x v="25"/>
    <n v="3300"/>
    <s v="FINALIZADO"/>
    <s v="Conforme"/>
    <m/>
    <m/>
    <m/>
    <m/>
    <m/>
    <s v=""/>
    <s v=""/>
    <s v="2025-12"/>
  </r>
  <r>
    <x v="107"/>
    <x v="8"/>
    <n v="8100"/>
    <s v="FINALIZADO"/>
    <s v="Conforme"/>
    <m/>
    <m/>
    <m/>
    <m/>
    <m/>
    <s v=""/>
    <s v=""/>
    <s v="2025-12"/>
  </r>
  <r>
    <x v="107"/>
    <x v="5"/>
    <n v="660"/>
    <s v="FINALIZADO"/>
    <s v="Conforme"/>
    <m/>
    <m/>
    <m/>
    <m/>
    <m/>
    <s v=""/>
    <s v=""/>
    <s v="2025-12"/>
  </r>
  <r>
    <x v="107"/>
    <x v="21"/>
    <n v="1050"/>
    <s v="FINALIZADO"/>
    <s v="Conforme"/>
    <m/>
    <m/>
    <m/>
    <m/>
    <m/>
    <s v=""/>
    <s v=""/>
    <s v="2025-12"/>
  </r>
  <r>
    <x v="108"/>
    <x v="2"/>
    <n v="10000"/>
    <s v="FINALIZADO"/>
    <s v="Conforme"/>
    <m/>
    <m/>
    <m/>
    <m/>
    <m/>
    <s v=""/>
    <s v=""/>
    <s v="2025-12"/>
  </r>
  <r>
    <x v="108"/>
    <x v="3"/>
    <n v="10400"/>
    <s v="FINALIZADO"/>
    <s v="Conforme"/>
    <m/>
    <m/>
    <m/>
    <m/>
    <m/>
    <s v=""/>
    <s v=""/>
    <s v="2025-12"/>
  </r>
  <r>
    <x v="108"/>
    <x v="12"/>
    <n v="1000"/>
    <s v="FINALIZADO"/>
    <s v="Conforme"/>
    <m/>
    <m/>
    <m/>
    <m/>
    <m/>
    <s v=""/>
    <s v=""/>
    <s v="2025-12"/>
  </r>
  <r>
    <x v="108"/>
    <x v="8"/>
    <n v="5400"/>
    <s v="FINALIZADO"/>
    <s v="Conforme"/>
    <m/>
    <m/>
    <m/>
    <m/>
    <m/>
    <s v=""/>
    <s v=""/>
    <s v="2025-12"/>
  </r>
  <r>
    <x v="108"/>
    <x v="8"/>
    <n v="1350"/>
    <s v="FINALIZADO"/>
    <s v="Conforme"/>
    <m/>
    <m/>
    <m/>
    <m/>
    <m/>
    <s v=""/>
    <s v=""/>
    <s v="2025-12"/>
  </r>
  <r>
    <x v="108"/>
    <x v="8"/>
    <n v="1350"/>
    <s v="FINALIZADO"/>
    <s v="Conforme"/>
    <m/>
    <m/>
    <m/>
    <m/>
    <m/>
    <s v=""/>
    <s v=""/>
    <s v="2025-12"/>
  </r>
  <r>
    <x v="108"/>
    <x v="21"/>
    <n v="1050"/>
    <s v="FINALIZADO"/>
    <s v="Conforme"/>
    <m/>
    <m/>
    <m/>
    <m/>
    <m/>
    <s v=""/>
    <s v=""/>
    <s v="2025-12"/>
  </r>
  <r>
    <x v="108"/>
    <x v="8"/>
    <n v="9450"/>
    <s v="FINALIZADO"/>
    <s v="Conforme"/>
    <m/>
    <m/>
    <m/>
    <m/>
    <m/>
    <s v=""/>
    <s v=""/>
    <s v="2025-12"/>
  </r>
  <r>
    <x v="109"/>
    <x v="6"/>
    <n v="3000"/>
    <s v="FINALIZADO"/>
    <s v="Conforme"/>
    <m/>
    <m/>
    <m/>
    <m/>
    <m/>
    <s v=""/>
    <s v=""/>
    <s v="2025-12"/>
  </r>
  <r>
    <x v="109"/>
    <x v="6"/>
    <n v="3000"/>
    <s v="FINALIZADO"/>
    <s v="Conforme"/>
    <m/>
    <m/>
    <m/>
    <m/>
    <m/>
    <s v=""/>
    <s v=""/>
    <s v="2025-12"/>
  </r>
  <r>
    <x v="109"/>
    <x v="6"/>
    <n v="3000"/>
    <s v="FINALIZADO"/>
    <s v="Conforme"/>
    <m/>
    <m/>
    <m/>
    <m/>
    <m/>
    <s v=""/>
    <s v=""/>
    <s v="2025-12"/>
  </r>
  <r>
    <x v="109"/>
    <x v="8"/>
    <n v="5400"/>
    <s v="FINALIZADO"/>
    <s v="Conforme"/>
    <m/>
    <m/>
    <m/>
    <m/>
    <m/>
    <s v=""/>
    <s v=""/>
    <s v="2025-12"/>
  </r>
  <r>
    <x v="109"/>
    <x v="8"/>
    <n v="12150"/>
    <s v="FINALIZADO"/>
    <s v="Conforme"/>
    <m/>
    <m/>
    <m/>
    <m/>
    <m/>
    <s v=""/>
    <s v=""/>
    <s v="2025-12"/>
  </r>
  <r>
    <x v="109"/>
    <x v="10"/>
    <n v="3600"/>
    <s v="FINALIZADO"/>
    <s v="Conforme"/>
    <m/>
    <m/>
    <m/>
    <m/>
    <m/>
    <s v=""/>
    <s v=""/>
    <s v="2025-12"/>
  </r>
  <r>
    <x v="110"/>
    <x v="6"/>
    <n v="4500"/>
    <s v="FINALIZADO"/>
    <s v="Conforme"/>
    <m/>
    <m/>
    <m/>
    <m/>
    <m/>
    <s v=""/>
    <s v=""/>
    <s v="2025-12"/>
  </r>
  <r>
    <x v="110"/>
    <x v="6"/>
    <n v="1500"/>
    <s v="FINALIZADO"/>
    <s v="Conforme"/>
    <m/>
    <m/>
    <m/>
    <m/>
    <m/>
    <s v=""/>
    <s v=""/>
    <s v="2025-12"/>
  </r>
  <r>
    <x v="110"/>
    <x v="36"/>
    <n v="1250"/>
    <s v="FINALIZADO"/>
    <s v="Conforme"/>
    <m/>
    <m/>
    <m/>
    <m/>
    <m/>
    <s v=""/>
    <s v=""/>
    <s v="2025-12"/>
  </r>
  <r>
    <x v="110"/>
    <x v="8"/>
    <n v="1400"/>
    <s v="FINALIZADO"/>
    <s v="Conforme"/>
    <m/>
    <m/>
    <m/>
    <m/>
    <m/>
    <s v=""/>
    <s v=""/>
    <s v="2025-12"/>
  </r>
  <r>
    <x v="110"/>
    <x v="21"/>
    <n v="1050"/>
    <s v="FINALIZADO"/>
    <s v="Conforme"/>
    <m/>
    <m/>
    <m/>
    <m/>
    <m/>
    <s v=""/>
    <s v=""/>
    <s v="2025-12"/>
  </r>
  <r>
    <x v="110"/>
    <x v="8"/>
    <n v="4050"/>
    <s v="FINALIZADO"/>
    <s v="Conforme"/>
    <m/>
    <m/>
    <m/>
    <m/>
    <m/>
    <s v=""/>
    <s v=""/>
    <s v="2025-12"/>
  </r>
  <r>
    <x v="110"/>
    <x v="8"/>
    <n v="4050"/>
    <s v="FINALIZADO"/>
    <s v="Conforme"/>
    <m/>
    <m/>
    <m/>
    <m/>
    <m/>
    <s v=""/>
    <s v=""/>
    <s v="2025-12"/>
  </r>
  <r>
    <x v="111"/>
    <x v="0"/>
    <n v="7400"/>
    <s v="FINALIZADO"/>
    <s v="Conforme"/>
    <m/>
    <m/>
    <m/>
    <m/>
    <m/>
    <s v=""/>
    <s v=""/>
    <s v="2025-12"/>
  </r>
  <r>
    <x v="111"/>
    <x v="2"/>
    <n v="8650"/>
    <s v="FINALIZADO"/>
    <s v="Conforme"/>
    <m/>
    <m/>
    <m/>
    <m/>
    <m/>
    <s v=""/>
    <s v=""/>
    <s v="2025-12"/>
  </r>
  <r>
    <x v="111"/>
    <x v="7"/>
    <n v="2100"/>
    <s v="FINALIZADO"/>
    <s v="Conforme"/>
    <m/>
    <m/>
    <m/>
    <m/>
    <m/>
    <s v=""/>
    <s v=""/>
    <s v="2025-12"/>
  </r>
  <r>
    <x v="112"/>
    <x v="6"/>
    <n v="4500"/>
    <s v="FINALIZADO"/>
    <s v="Conforme"/>
    <m/>
    <m/>
    <m/>
    <m/>
    <m/>
    <s v=""/>
    <s v=""/>
    <s v="2025-12"/>
  </r>
  <r>
    <x v="112"/>
    <x v="8"/>
    <n v="1350"/>
    <s v="FINALIZADO"/>
    <s v="Conforme"/>
    <m/>
    <m/>
    <m/>
    <m/>
    <m/>
    <s v=""/>
    <s v=""/>
    <s v="2025-12"/>
  </r>
  <r>
    <x v="112"/>
    <x v="8"/>
    <n v="5400"/>
    <s v="FINALIZADO"/>
    <s v="Conforme"/>
    <m/>
    <m/>
    <m/>
    <m/>
    <m/>
    <s v=""/>
    <s v=""/>
    <s v="2025-12"/>
  </r>
  <r>
    <x v="112"/>
    <x v="8"/>
    <n v="1350"/>
    <s v="FINALIZADO"/>
    <s v="Conforme"/>
    <m/>
    <m/>
    <m/>
    <m/>
    <m/>
    <s v=""/>
    <s v=""/>
    <s v="2025-12"/>
  </r>
  <r>
    <x v="112"/>
    <x v="8"/>
    <n v="4050"/>
    <s v="FINALIZADO"/>
    <s v="Conforme"/>
    <m/>
    <m/>
    <m/>
    <m/>
    <m/>
    <s v=""/>
    <s v=""/>
    <s v="2025-12"/>
  </r>
  <r>
    <x v="112"/>
    <x v="1"/>
    <n v="1000"/>
    <s v="FINALIZADO"/>
    <s v="Conforme"/>
    <m/>
    <m/>
    <m/>
    <m/>
    <m/>
    <s v=""/>
    <s v=""/>
    <s v="2025-12"/>
  </r>
  <r>
    <x v="112"/>
    <x v="8"/>
    <n v="1350"/>
    <s v="FINALIZADO"/>
    <s v="Conforme"/>
    <m/>
    <m/>
    <m/>
    <m/>
    <m/>
    <s v=""/>
    <s v=""/>
    <s v="2025-12"/>
  </r>
  <r>
    <x v="112"/>
    <x v="42"/>
    <n v="1000"/>
    <s v="FINALIZADO"/>
    <s v="Conforme"/>
    <m/>
    <m/>
    <m/>
    <m/>
    <m/>
    <s v=""/>
    <s v=""/>
    <s v="2025-12"/>
  </r>
  <r>
    <x v="113"/>
    <x v="22"/>
    <n v="1100"/>
    <s v="FINALIZADO"/>
    <s v="Conforme"/>
    <m/>
    <m/>
    <m/>
    <m/>
    <m/>
    <s v=""/>
    <s v=""/>
    <s v="2025-12"/>
  </r>
  <r>
    <x v="113"/>
    <x v="27"/>
    <n v="1000"/>
    <s v="FINALIZADO"/>
    <s v="Conforme"/>
    <m/>
    <m/>
    <m/>
    <m/>
    <m/>
    <s v=""/>
    <s v=""/>
    <s v="2025-12"/>
  </r>
  <r>
    <x v="113"/>
    <x v="4"/>
    <n v="10000"/>
    <s v="FINALIZADO"/>
    <s v="Conforme"/>
    <m/>
    <m/>
    <m/>
    <m/>
    <m/>
    <s v=""/>
    <s v=""/>
    <s v="2025-12"/>
  </r>
  <r>
    <x v="113"/>
    <x v="2"/>
    <n v="10000"/>
    <s v="FINALIZADO"/>
    <s v="Conforme"/>
    <m/>
    <m/>
    <m/>
    <m/>
    <m/>
    <s v=""/>
    <s v=""/>
    <s v="2025-12"/>
  </r>
  <r>
    <x v="113"/>
    <x v="15"/>
    <n v="10000"/>
    <s v="FINALIZADO"/>
    <s v="Conforme"/>
    <m/>
    <m/>
    <m/>
    <m/>
    <m/>
    <s v=""/>
    <s v=""/>
    <s v="2025-12"/>
  </r>
  <r>
    <x v="114"/>
    <x v="8"/>
    <n v="1350"/>
    <s v="FINALIZADO"/>
    <s v="Conforme"/>
    <m/>
    <m/>
    <m/>
    <m/>
    <m/>
    <s v=""/>
    <s v=""/>
    <s v="2025-12"/>
  </r>
  <r>
    <x v="114"/>
    <x v="8"/>
    <n v="2700"/>
    <s v="FINALIZADO"/>
    <s v="Conforme"/>
    <m/>
    <m/>
    <m/>
    <m/>
    <m/>
    <s v=""/>
    <s v=""/>
    <s v="2025-12"/>
  </r>
  <r>
    <x v="114"/>
    <x v="8"/>
    <n v="8100"/>
    <s v="FINALIZADO"/>
    <s v="Conforme"/>
    <m/>
    <m/>
    <m/>
    <m/>
    <m/>
    <s v=""/>
    <s v=""/>
    <s v="2025-12"/>
  </r>
  <r>
    <x v="114"/>
    <x v="8"/>
    <n v="1350"/>
    <s v="FINALIZADO"/>
    <s v="Conforme"/>
    <m/>
    <m/>
    <m/>
    <m/>
    <m/>
    <s v=""/>
    <s v=""/>
    <s v="2025-12"/>
  </r>
  <r>
    <x v="114"/>
    <x v="10"/>
    <n v="900"/>
    <s v="FINALIZADO"/>
    <s v="Conforme"/>
    <m/>
    <m/>
    <m/>
    <m/>
    <m/>
    <s v=""/>
    <s v=""/>
    <s v="2025-12"/>
  </r>
  <r>
    <x v="114"/>
    <x v="10"/>
    <n v="900"/>
    <s v="FINALIZADO"/>
    <s v="Conforme"/>
    <m/>
    <m/>
    <m/>
    <m/>
    <m/>
    <s v=""/>
    <s v=""/>
    <s v="2025-12"/>
  </r>
  <r>
    <x v="114"/>
    <x v="9"/>
    <n v="400"/>
    <s v="FINALIZADO"/>
    <s v="Conforme"/>
    <m/>
    <m/>
    <m/>
    <m/>
    <m/>
    <s v=""/>
    <s v=""/>
    <s v="2025-12"/>
  </r>
  <r>
    <x v="114"/>
    <x v="5"/>
    <n v="560"/>
    <s v="FINALIZADO"/>
    <s v="Conforme"/>
    <m/>
    <m/>
    <m/>
    <m/>
    <m/>
    <s v=""/>
    <s v=""/>
    <s v="2025-12"/>
  </r>
  <r>
    <x v="114"/>
    <x v="12"/>
    <n v="1000"/>
    <s v="FINALIZADO"/>
    <s v="Conforme"/>
    <m/>
    <m/>
    <m/>
    <m/>
    <m/>
    <s v=""/>
    <s v=""/>
    <s v="2025-12"/>
  </r>
  <r>
    <x v="114"/>
    <x v="25"/>
    <n v="3300"/>
    <s v="FINALIZADO"/>
    <s v="Conforme"/>
    <m/>
    <m/>
    <m/>
    <m/>
    <m/>
    <s v=""/>
    <s v=""/>
    <s v="2025-12"/>
  </r>
  <r>
    <x v="114"/>
    <x v="25"/>
    <n v="3300"/>
    <s v="FINALIZADO"/>
    <s v="Conforme"/>
    <m/>
    <m/>
    <m/>
    <m/>
    <m/>
    <s v=""/>
    <s v=""/>
    <s v="2025-12"/>
  </r>
  <r>
    <x v="114"/>
    <x v="25"/>
    <n v="1100"/>
    <s v="FINALIZADO"/>
    <s v="Conforme"/>
    <m/>
    <m/>
    <m/>
    <m/>
    <m/>
    <s v=""/>
    <s v=""/>
    <s v="2025-12"/>
  </r>
  <r>
    <x v="114"/>
    <x v="25"/>
    <n v="1100"/>
    <s v="FINALIZADO"/>
    <s v="Conforme"/>
    <m/>
    <m/>
    <m/>
    <m/>
    <m/>
    <s v=""/>
    <s v=""/>
    <s v="2025-12"/>
  </r>
  <r>
    <x v="114"/>
    <x v="15"/>
    <n v="10000"/>
    <s v="FINALIZADO"/>
    <s v="Conforme"/>
    <m/>
    <m/>
    <m/>
    <m/>
    <m/>
    <s v=""/>
    <s v=""/>
    <s v="2025-12"/>
  </r>
  <r>
    <x v="114"/>
    <x v="43"/>
    <n v="17950"/>
    <s v="FINALIZADO"/>
    <s v="Conforme"/>
    <m/>
    <m/>
    <m/>
    <m/>
    <m/>
    <s v=""/>
    <s v=""/>
    <s v="2025-12"/>
  </r>
  <r>
    <x v="115"/>
    <x v="8"/>
    <n v="1350"/>
    <s v="FINALIZADO"/>
    <s v="Conforme"/>
    <m/>
    <m/>
    <m/>
    <m/>
    <m/>
    <s v=""/>
    <s v=""/>
    <s v="2025-12"/>
  </r>
  <r>
    <x v="115"/>
    <x v="8"/>
    <n v="1350"/>
    <s v="FINALIZADO"/>
    <s v="Conforme"/>
    <m/>
    <m/>
    <m/>
    <m/>
    <m/>
    <s v=""/>
    <s v=""/>
    <s v="2025-12"/>
  </r>
  <r>
    <x v="115"/>
    <x v="8"/>
    <n v="2700"/>
    <s v="FINALIZADO"/>
    <s v="Conforme"/>
    <m/>
    <m/>
    <m/>
    <m/>
    <m/>
    <s v=""/>
    <s v=""/>
    <s v="2025-12"/>
  </r>
  <r>
    <x v="116"/>
    <x v="8"/>
    <n v="1350"/>
    <s v="FINALIZADO"/>
    <s v="Conforme"/>
    <m/>
    <m/>
    <m/>
    <m/>
    <m/>
    <s v=""/>
    <s v=""/>
    <s v="2025-12"/>
  </r>
  <r>
    <x v="116"/>
    <x v="8"/>
    <n v="5600"/>
    <s v="FINALIZADO"/>
    <s v="Conforme"/>
    <m/>
    <m/>
    <m/>
    <m/>
    <m/>
    <s v=""/>
    <s v=""/>
    <s v="2025-12"/>
  </r>
  <r>
    <x v="116"/>
    <x v="8"/>
    <n v="1350"/>
    <s v="FINALIZADO"/>
    <s v="Conforme"/>
    <m/>
    <m/>
    <m/>
    <m/>
    <m/>
    <s v=""/>
    <s v=""/>
    <s v="2025-12"/>
  </r>
  <r>
    <x v="116"/>
    <x v="8"/>
    <n v="6750"/>
    <s v="FINALIZADO"/>
    <s v="Conforme"/>
    <m/>
    <m/>
    <m/>
    <m/>
    <m/>
    <s v=""/>
    <s v=""/>
    <s v="2025-12"/>
  </r>
  <r>
    <x v="116"/>
    <x v="8"/>
    <n v="4050"/>
    <s v="FINALIZADO"/>
    <s v="Conforme"/>
    <m/>
    <m/>
    <m/>
    <m/>
    <m/>
    <s v=""/>
    <s v=""/>
    <s v="2025-12"/>
  </r>
  <r>
    <x v="117"/>
    <x v="6"/>
    <n v="3000"/>
    <s v="FINALIZADO"/>
    <s v="Conforme"/>
    <m/>
    <m/>
    <m/>
    <m/>
    <m/>
    <s v=""/>
    <s v=""/>
    <s v="2025-12"/>
  </r>
  <r>
    <x v="117"/>
    <x v="16"/>
    <n v="1250"/>
    <s v="FINALIZADO"/>
    <s v="Conforme"/>
    <m/>
    <m/>
    <m/>
    <m/>
    <m/>
    <s v=""/>
    <s v=""/>
    <s v="2025-12"/>
  </r>
  <r>
    <x v="117"/>
    <x v="12"/>
    <n v="2000"/>
    <s v="FINALIZADO"/>
    <s v="Conforme"/>
    <m/>
    <m/>
    <m/>
    <m/>
    <m/>
    <s v=""/>
    <s v=""/>
    <s v="2025-12"/>
  </r>
  <r>
    <x v="117"/>
    <x v="20"/>
    <n v="1200"/>
    <s v="FINALIZADO"/>
    <s v="Conforme"/>
    <m/>
    <m/>
    <m/>
    <m/>
    <m/>
    <s v=""/>
    <s v=""/>
    <s v="2025-12"/>
  </r>
  <r>
    <x v="117"/>
    <x v="2"/>
    <n v="10000"/>
    <s v="FINALIZADO"/>
    <s v="Conforme"/>
    <m/>
    <m/>
    <m/>
    <m/>
    <m/>
    <s v=""/>
    <s v=""/>
    <s v="2025-12"/>
  </r>
  <r>
    <x v="117"/>
    <x v="8"/>
    <n v="12150"/>
    <s v="FINALIZADO"/>
    <s v="Conforme"/>
    <m/>
    <m/>
    <m/>
    <m/>
    <m/>
    <s v=""/>
    <s v=""/>
    <s v="2025-12"/>
  </r>
  <r>
    <x v="118"/>
    <x v="3"/>
    <n v="10400"/>
    <s v="FINALIZADO"/>
    <s v="Conforme"/>
    <m/>
    <m/>
    <m/>
    <m/>
    <m/>
    <s v=""/>
    <s v=""/>
    <s v="2025-12"/>
  </r>
  <r>
    <x v="118"/>
    <x v="2"/>
    <n v="10000"/>
    <s v="FINALIZADO"/>
    <s v="Conforme"/>
    <m/>
    <m/>
    <m/>
    <m/>
    <m/>
    <s v=""/>
    <s v=""/>
    <s v="2025-12"/>
  </r>
  <r>
    <x v="118"/>
    <x v="0"/>
    <n v="10000"/>
    <s v="FINALIZADO"/>
    <s v="Conforme"/>
    <m/>
    <m/>
    <m/>
    <m/>
    <m/>
    <s v=""/>
    <s v=""/>
    <s v="2025-12"/>
  </r>
  <r>
    <x v="118"/>
    <x v="6"/>
    <n v="6200"/>
    <s v="FINALIZADO"/>
    <s v="Conforme"/>
    <m/>
    <m/>
    <m/>
    <m/>
    <m/>
    <s v=""/>
    <s v=""/>
    <s v="2025-12"/>
  </r>
  <r>
    <x v="118"/>
    <x v="6"/>
    <n v="6000"/>
    <s v="FINALIZADO"/>
    <s v="Conforme"/>
    <m/>
    <m/>
    <m/>
    <m/>
    <m/>
    <s v=""/>
    <s v=""/>
    <s v="2025-12"/>
  </r>
  <r>
    <x v="118"/>
    <x v="9"/>
    <n v="400"/>
    <s v="FINALIZADO"/>
    <s v="Conforme"/>
    <m/>
    <m/>
    <m/>
    <m/>
    <m/>
    <s v=""/>
    <s v=""/>
    <s v="2025-12"/>
  </r>
  <r>
    <x v="118"/>
    <x v="8"/>
    <n v="4050"/>
    <s v="FINALIZADO"/>
    <s v="Conforme"/>
    <m/>
    <m/>
    <m/>
    <m/>
    <m/>
    <s v=""/>
    <s v=""/>
    <s v="2025-12"/>
  </r>
  <r>
    <x v="118"/>
    <x v="44"/>
    <n v="900"/>
    <s v="FINALIZADO"/>
    <s v="Conforme"/>
    <m/>
    <m/>
    <m/>
    <m/>
    <m/>
    <s v=""/>
    <s v=""/>
    <s v="2025-12"/>
  </r>
  <r>
    <x v="118"/>
    <x v="10"/>
    <n v="3600"/>
    <s v="FINALIZADO"/>
    <s v="Conforme"/>
    <m/>
    <m/>
    <m/>
    <m/>
    <m/>
    <s v=""/>
    <s v=""/>
    <s v="2025-12"/>
  </r>
  <r>
    <x v="118"/>
    <x v="8"/>
    <n v="4050"/>
    <s v="FINALIZADO"/>
    <s v="Conforme"/>
    <m/>
    <m/>
    <m/>
    <m/>
    <m/>
    <s v=""/>
    <s v=""/>
    <s v="2025-12"/>
  </r>
  <r>
    <x v="119"/>
    <x v="16"/>
    <n v="1250"/>
    <s v="FINALIZADO"/>
    <s v="Conforme"/>
    <m/>
    <m/>
    <m/>
    <m/>
    <m/>
    <s v=""/>
    <s v=""/>
    <s v="2025-12"/>
  </r>
  <r>
    <x v="119"/>
    <x v="8"/>
    <n v="5400"/>
    <s v="FINALIZADO"/>
    <s v="Conforme"/>
    <m/>
    <m/>
    <m/>
    <m/>
    <m/>
    <s v=""/>
    <s v=""/>
    <s v="2025-12"/>
  </r>
  <r>
    <x v="119"/>
    <x v="8"/>
    <n v="2700"/>
    <s v="FINALIZADO"/>
    <s v="Conforme"/>
    <m/>
    <m/>
    <m/>
    <m/>
    <m/>
    <s v=""/>
    <s v=""/>
    <s v="2025-12"/>
  </r>
  <r>
    <x v="119"/>
    <x v="8"/>
    <n v="4050"/>
    <s v="FINALIZADO"/>
    <s v="Conforme"/>
    <m/>
    <m/>
    <m/>
    <m/>
    <m/>
    <s v=""/>
    <s v=""/>
    <s v="2025-12"/>
  </r>
  <r>
    <x v="119"/>
    <x v="8"/>
    <n v="2700"/>
    <s v="FINALIZADO"/>
    <s v="Conforme"/>
    <m/>
    <m/>
    <m/>
    <m/>
    <m/>
    <s v=""/>
    <s v=""/>
    <s v="2025-12"/>
  </r>
  <r>
    <x v="119"/>
    <x v="8"/>
    <n v="16200"/>
    <s v="FINALIZADO"/>
    <s v="Conforme"/>
    <m/>
    <m/>
    <m/>
    <m/>
    <m/>
    <s v=""/>
    <s v=""/>
    <s v="2025-12"/>
  </r>
  <r>
    <x v="119"/>
    <x v="6"/>
    <n v="4500"/>
    <s v="FINALIZADO"/>
    <s v="Conforme"/>
    <m/>
    <m/>
    <m/>
    <m/>
    <m/>
    <s v=""/>
    <s v=""/>
    <s v="2025-12"/>
  </r>
  <r>
    <x v="120"/>
    <x v="8"/>
    <n v="1350"/>
    <s v="FINALIZADO"/>
    <s v="Conforme"/>
    <m/>
    <m/>
    <m/>
    <m/>
    <m/>
    <s v=""/>
    <s v=""/>
    <s v="2025-12"/>
  </r>
  <r>
    <x v="120"/>
    <x v="8"/>
    <n v="1350"/>
    <s v="FINALIZADO"/>
    <s v="Conforme"/>
    <m/>
    <m/>
    <m/>
    <m/>
    <m/>
    <s v=""/>
    <s v=""/>
    <s v="2025-12"/>
  </r>
  <r>
    <x v="120"/>
    <x v="21"/>
    <n v="1050"/>
    <s v="FINALIZADO"/>
    <s v="Conforme"/>
    <m/>
    <m/>
    <m/>
    <m/>
    <m/>
    <s v=""/>
    <s v=""/>
    <s v="2025-12"/>
  </r>
  <r>
    <x v="120"/>
    <x v="4"/>
    <n v="5000"/>
    <s v="FINALIZADO"/>
    <s v="Conforme"/>
    <m/>
    <m/>
    <m/>
    <m/>
    <m/>
    <s v=""/>
    <s v=""/>
    <s v="2025-12"/>
  </r>
  <r>
    <x v="120"/>
    <x v="22"/>
    <n v="1000"/>
    <s v="FINALIZADO"/>
    <s v="Conforme"/>
    <m/>
    <m/>
    <m/>
    <m/>
    <m/>
    <s v=""/>
    <s v=""/>
    <s v="2025-12"/>
  </r>
  <r>
    <x v="120"/>
    <x v="4"/>
    <n v="6000"/>
    <s v="FINALIZADO"/>
    <s v="Conforme"/>
    <m/>
    <m/>
    <m/>
    <m/>
    <m/>
    <s v=""/>
    <s v=""/>
    <s v="2025-12"/>
  </r>
  <r>
    <x v="120"/>
    <x v="22"/>
    <n v="1000"/>
    <s v="FINALIZADO"/>
    <s v="Conforme"/>
    <m/>
    <m/>
    <m/>
    <m/>
    <m/>
    <s v=""/>
    <s v=""/>
    <s v="2025-12"/>
  </r>
  <r>
    <x v="120"/>
    <x v="8"/>
    <n v="2700"/>
    <s v="FINALIZADO"/>
    <s v="Conforme"/>
    <m/>
    <m/>
    <m/>
    <m/>
    <m/>
    <s v=""/>
    <s v=""/>
    <s v="2025-12"/>
  </r>
  <r>
    <x v="120"/>
    <x v="8"/>
    <n v="4050"/>
    <s v="FINALIZADO"/>
    <s v="Conforme"/>
    <m/>
    <m/>
    <m/>
    <m/>
    <m/>
    <s v=""/>
    <s v=""/>
    <s v="2025-12"/>
  </r>
  <r>
    <x v="120"/>
    <x v="6"/>
    <n v="6000"/>
    <s v="FINALIZADO"/>
    <s v="Conforme"/>
    <m/>
    <m/>
    <m/>
    <m/>
    <m/>
    <s v=""/>
    <s v=""/>
    <s v="2025-12"/>
  </r>
  <r>
    <x v="120"/>
    <x v="19"/>
    <n v="17000"/>
    <s v="FINALIZADO"/>
    <s v="Conforme"/>
    <m/>
    <m/>
    <m/>
    <m/>
    <m/>
    <s v=""/>
    <s v=""/>
    <s v="2025-12"/>
  </r>
  <r>
    <x v="120"/>
    <x v="17"/>
    <n v="1500"/>
    <s v="FINALIZADO"/>
    <s v="Conforme"/>
    <m/>
    <m/>
    <m/>
    <m/>
    <m/>
    <s v=""/>
    <s v=""/>
    <s v="2025-12"/>
  </r>
  <r>
    <x v="121"/>
    <x v="8"/>
    <n v="1350"/>
    <s v="FINALIZADO"/>
    <s v="Conforme"/>
    <m/>
    <m/>
    <m/>
    <m/>
    <m/>
    <s v=""/>
    <s v=""/>
    <s v="2025-12"/>
  </r>
  <r>
    <x v="121"/>
    <x v="21"/>
    <n v="1050"/>
    <s v="FINALIZADO"/>
    <s v="Conforme"/>
    <m/>
    <m/>
    <m/>
    <m/>
    <m/>
    <s v=""/>
    <s v=""/>
    <s v="2025-12"/>
  </r>
  <r>
    <x v="121"/>
    <x v="16"/>
    <n v="1000"/>
    <s v="FINALIZADO"/>
    <s v="Conforme"/>
    <m/>
    <m/>
    <m/>
    <m/>
    <m/>
    <s v=""/>
    <s v=""/>
    <s v="2025-12"/>
  </r>
  <r>
    <x v="121"/>
    <x v="6"/>
    <n v="6000"/>
    <s v="FINALIZADO"/>
    <s v="Conforme"/>
    <m/>
    <m/>
    <m/>
    <m/>
    <m/>
    <s v=""/>
    <s v=""/>
    <s v="2025-12"/>
  </r>
  <r>
    <x v="121"/>
    <x v="43"/>
    <n v="6750"/>
    <s v="FINALIZADO"/>
    <s v="Conforme"/>
    <m/>
    <m/>
    <m/>
    <m/>
    <m/>
    <s v=""/>
    <s v=""/>
    <s v="2025-12"/>
  </r>
  <r>
    <x v="122"/>
    <x v="8"/>
    <n v="2700"/>
    <s v="FINALIZADO"/>
    <s v="Conforme"/>
    <m/>
    <m/>
    <m/>
    <m/>
    <m/>
    <s v=""/>
    <s v=""/>
    <s v="2025-12"/>
  </r>
  <r>
    <x v="122"/>
    <x v="10"/>
    <n v="3600"/>
    <s v="FINALIZADO"/>
    <s v="Conforme"/>
    <m/>
    <m/>
    <m/>
    <m/>
    <m/>
    <s v=""/>
    <s v=""/>
    <s v="2025-12"/>
  </r>
  <r>
    <x v="122"/>
    <x v="0"/>
    <n v="10000"/>
    <s v="FINALIZADO"/>
    <s v="Conforme"/>
    <m/>
    <m/>
    <m/>
    <m/>
    <m/>
    <s v=""/>
    <s v=""/>
    <s v="2025-12"/>
  </r>
  <r>
    <x v="122"/>
    <x v="2"/>
    <n v="10000"/>
    <s v="FINALIZADO"/>
    <s v="Conforme"/>
    <m/>
    <m/>
    <m/>
    <m/>
    <m/>
    <s v=""/>
    <s v=""/>
    <s v="2025-12"/>
  </r>
  <r>
    <x v="122"/>
    <x v="3"/>
    <n v="10400"/>
    <s v="FINALIZADO"/>
    <s v="Conforme"/>
    <m/>
    <m/>
    <m/>
    <m/>
    <m/>
    <s v=""/>
    <s v=""/>
    <s v="2025-12"/>
  </r>
  <r>
    <x v="122"/>
    <x v="25"/>
    <n v="1100"/>
    <s v="FINALIZADO"/>
    <s v="Conforme"/>
    <m/>
    <m/>
    <m/>
    <m/>
    <m/>
    <s v=""/>
    <s v=""/>
    <s v="2025-12"/>
  </r>
  <r>
    <x v="123"/>
    <x v="6"/>
    <n v="3000"/>
    <s v="FINALIZADO"/>
    <s v="Conforme"/>
    <m/>
    <m/>
    <m/>
    <m/>
    <m/>
    <s v=""/>
    <s v=""/>
    <s v="2026-01"/>
  </r>
  <r>
    <x v="123"/>
    <x v="6"/>
    <n v="3000"/>
    <s v="FINALIZADO"/>
    <s v="Conforme"/>
    <m/>
    <m/>
    <m/>
    <m/>
    <m/>
    <s v=""/>
    <s v=""/>
    <s v="2026-01"/>
  </r>
  <r>
    <x v="123"/>
    <x v="8"/>
    <n v="1350"/>
    <s v="FINALIZADO"/>
    <s v="Conforme"/>
    <m/>
    <m/>
    <m/>
    <m/>
    <m/>
    <s v=""/>
    <s v=""/>
    <s v="2026-01"/>
  </r>
  <r>
    <x v="123"/>
    <x v="8"/>
    <n v="13500"/>
    <s v="FINALIZADO"/>
    <s v="Conforme"/>
    <m/>
    <m/>
    <m/>
    <m/>
    <m/>
    <s v=""/>
    <s v=""/>
    <s v="2026-01"/>
  </r>
  <r>
    <x v="123"/>
    <x v="8"/>
    <n v="1350"/>
    <s v="FINALIZADO"/>
    <s v="Conforme"/>
    <m/>
    <m/>
    <m/>
    <m/>
    <m/>
    <s v=""/>
    <s v=""/>
    <s v="2026-01"/>
  </r>
  <r>
    <x v="123"/>
    <x v="8"/>
    <n v="1350"/>
    <s v="FINALIZADO"/>
    <s v="Conforme"/>
    <m/>
    <m/>
    <m/>
    <m/>
    <m/>
    <s v=""/>
    <s v=""/>
    <s v="2026-01"/>
  </r>
  <r>
    <x v="123"/>
    <x v="21"/>
    <n v="2100"/>
    <s v="FINALIZADO"/>
    <s v="Conforme"/>
    <m/>
    <m/>
    <m/>
    <m/>
    <m/>
    <s v=""/>
    <s v=""/>
    <s v="2026-01"/>
  </r>
  <r>
    <x v="124"/>
    <x v="9"/>
    <n v="400"/>
    <s v="FINALIZADO"/>
    <s v="Conforme"/>
    <m/>
    <m/>
    <m/>
    <m/>
    <m/>
    <s v=""/>
    <s v=""/>
    <s v="2026-01"/>
  </r>
  <r>
    <x v="124"/>
    <x v="21"/>
    <n v="2100"/>
    <s v="FINALIZADO"/>
    <s v="Conforme"/>
    <m/>
    <m/>
    <m/>
    <m/>
    <m/>
    <s v=""/>
    <s v=""/>
    <s v="2026-01"/>
  </r>
  <r>
    <x v="124"/>
    <x v="1"/>
    <n v="1000"/>
    <s v="FINALIZADO"/>
    <s v="Conforme"/>
    <m/>
    <m/>
    <m/>
    <m/>
    <m/>
    <s v=""/>
    <s v=""/>
    <s v="2026-01"/>
  </r>
  <r>
    <x v="124"/>
    <x v="26"/>
    <n v="2000"/>
    <s v="FINALIZADO"/>
    <s v="Conforme"/>
    <m/>
    <m/>
    <m/>
    <m/>
    <m/>
    <s v=""/>
    <s v=""/>
    <s v="2026-01"/>
  </r>
  <r>
    <x v="124"/>
    <x v="8"/>
    <n v="4050"/>
    <s v="FINALIZADO"/>
    <s v="Conforme"/>
    <m/>
    <m/>
    <m/>
    <m/>
    <m/>
    <s v=""/>
    <s v=""/>
    <s v="2026-01"/>
  </r>
  <r>
    <x v="124"/>
    <x v="25"/>
    <n v="2200"/>
    <s v="FINALIZADO"/>
    <s v="Conforme"/>
    <m/>
    <m/>
    <m/>
    <m/>
    <m/>
    <s v=""/>
    <s v=""/>
    <s v="2026-01"/>
  </r>
  <r>
    <x v="125"/>
    <x v="8"/>
    <n v="1350"/>
    <s v="FINALIZADO"/>
    <s v="Conforme"/>
    <m/>
    <m/>
    <m/>
    <m/>
    <m/>
    <s v=""/>
    <s v=""/>
    <s v="2026-01"/>
  </r>
  <r>
    <x v="125"/>
    <x v="8"/>
    <n v="5400"/>
    <s v="FINALIZADO"/>
    <s v="Conforme"/>
    <m/>
    <m/>
    <m/>
    <m/>
    <m/>
    <s v=""/>
    <s v=""/>
    <s v="2026-01"/>
  </r>
  <r>
    <x v="125"/>
    <x v="8"/>
    <n v="1350"/>
    <s v="FINALIZADO"/>
    <s v="Conforme"/>
    <m/>
    <m/>
    <m/>
    <m/>
    <m/>
    <s v=""/>
    <s v=""/>
    <s v="2026-01"/>
  </r>
  <r>
    <x v="125"/>
    <x v="8"/>
    <n v="1350"/>
    <s v="FINALIZADO"/>
    <s v="Conforme"/>
    <m/>
    <m/>
    <m/>
    <m/>
    <m/>
    <s v=""/>
    <s v=""/>
    <s v="2026-01"/>
  </r>
  <r>
    <x v="126"/>
    <x v="8"/>
    <n v="4050"/>
    <s v="FINALIZADO"/>
    <s v="Conforme"/>
    <m/>
    <m/>
    <m/>
    <m/>
    <m/>
    <s v=""/>
    <s v=""/>
    <s v="2026-01"/>
  </r>
  <r>
    <x v="127"/>
    <x v="8"/>
    <n v="1350"/>
    <s v="FINALIZADO"/>
    <s v="Conforme"/>
    <m/>
    <m/>
    <m/>
    <m/>
    <m/>
    <s v=""/>
    <s v=""/>
    <s v="2026-01"/>
  </r>
  <r>
    <x v="127"/>
    <x v="10"/>
    <n v="900"/>
    <s v="FINALIZADO"/>
    <s v="Conforme"/>
    <m/>
    <m/>
    <m/>
    <m/>
    <m/>
    <s v=""/>
    <s v=""/>
    <s v="2026-01"/>
  </r>
  <r>
    <x v="127"/>
    <x v="35"/>
    <n v="1250"/>
    <s v="FINALIZADO"/>
    <s v="Conforme"/>
    <m/>
    <m/>
    <m/>
    <m/>
    <m/>
    <s v=""/>
    <s v=""/>
    <s v="2026-01"/>
  </r>
  <r>
    <x v="127"/>
    <x v="15"/>
    <n v="10000"/>
    <s v="FINALIZADO"/>
    <s v="Conforme"/>
    <m/>
    <m/>
    <m/>
    <m/>
    <m/>
    <s v=""/>
    <s v=""/>
    <s v="2026-01"/>
  </r>
  <r>
    <x v="127"/>
    <x v="24"/>
    <n v="3000"/>
    <s v="FINALIZADO"/>
    <s v="Conforme"/>
    <m/>
    <m/>
    <m/>
    <m/>
    <m/>
    <s v=""/>
    <s v=""/>
    <s v="2026-01"/>
  </r>
  <r>
    <x v="127"/>
    <x v="25"/>
    <n v="4000"/>
    <s v="FINALIZADO"/>
    <s v="Conforme"/>
    <m/>
    <m/>
    <m/>
    <m/>
    <m/>
    <s v=""/>
    <s v=""/>
    <s v="2026-01"/>
  </r>
  <r>
    <x v="127"/>
    <x v="19"/>
    <n v="8500"/>
    <s v="FINALIZADO"/>
    <s v="Conforme"/>
    <m/>
    <m/>
    <m/>
    <m/>
    <m/>
    <s v=""/>
    <s v=""/>
    <s v="2026-01"/>
  </r>
  <r>
    <x v="127"/>
    <x v="45"/>
    <n v="1340"/>
    <s v="FINALIZADO"/>
    <s v="Conforme"/>
    <m/>
    <m/>
    <m/>
    <m/>
    <m/>
    <s v=""/>
    <s v=""/>
    <s v="2026-01"/>
  </r>
  <r>
    <x v="128"/>
    <x v="16"/>
    <n v="1000"/>
    <s v="FINALIZADO"/>
    <s v="Conforme"/>
    <m/>
    <m/>
    <m/>
    <m/>
    <m/>
    <s v=""/>
    <s v=""/>
    <s v="2026-01"/>
  </r>
  <r>
    <x v="128"/>
    <x v="10"/>
    <n v="1800"/>
    <s v="FINALIZADO"/>
    <s v="Conforme"/>
    <m/>
    <m/>
    <m/>
    <m/>
    <m/>
    <s v=""/>
    <s v=""/>
    <s v="2026-01"/>
  </r>
  <r>
    <x v="128"/>
    <x v="28"/>
    <n v="1200"/>
    <s v="FINALIZADO"/>
    <s v="Conforme"/>
    <m/>
    <m/>
    <m/>
    <m/>
    <m/>
    <s v=""/>
    <s v=""/>
    <s v="2026-01"/>
  </r>
  <r>
    <x v="128"/>
    <x v="6"/>
    <n v="7500"/>
    <s v="FINALIZADO"/>
    <s v="Conforme"/>
    <m/>
    <m/>
    <m/>
    <m/>
    <m/>
    <s v=""/>
    <s v=""/>
    <s v="2026-01"/>
  </r>
  <r>
    <x v="128"/>
    <x v="3"/>
    <n v="10400"/>
    <s v="FINALIZADO"/>
    <s v="Conforme"/>
    <m/>
    <m/>
    <m/>
    <m/>
    <m/>
    <s v=""/>
    <s v=""/>
    <s v="2026-01"/>
  </r>
  <r>
    <x v="128"/>
    <x v="0"/>
    <n v="10000"/>
    <s v="FINALIZADO"/>
    <s v="Conforme"/>
    <m/>
    <m/>
    <m/>
    <m/>
    <m/>
    <s v=""/>
    <s v=""/>
    <s v="2026-01"/>
  </r>
  <r>
    <x v="128"/>
    <x v="22"/>
    <n v="1000"/>
    <s v="FINALIZADO"/>
    <s v="Conforme"/>
    <m/>
    <m/>
    <m/>
    <m/>
    <m/>
    <s v=""/>
    <s v=""/>
    <s v="2026-01"/>
  </r>
  <r>
    <x v="129"/>
    <x v="8"/>
    <n v="18900"/>
    <s v="FINALIZADO"/>
    <s v="Conforme"/>
    <m/>
    <m/>
    <m/>
    <m/>
    <m/>
    <s v=""/>
    <s v=""/>
    <s v="2026-01"/>
  </r>
  <r>
    <x v="129"/>
    <x v="8"/>
    <n v="12150"/>
    <s v="FINALIZADO"/>
    <s v="Conforme"/>
    <m/>
    <m/>
    <m/>
    <m/>
    <m/>
    <s v=""/>
    <s v=""/>
    <s v="2026-01"/>
  </r>
  <r>
    <x v="129"/>
    <x v="8"/>
    <n v="2700"/>
    <s v="FINALIZADO"/>
    <s v="Conforme"/>
    <m/>
    <m/>
    <m/>
    <m/>
    <m/>
    <s v=""/>
    <s v=""/>
    <s v="2026-01"/>
  </r>
  <r>
    <x v="129"/>
    <x v="8"/>
    <n v="1350"/>
    <s v="FINALIZADO"/>
    <s v="Conforme"/>
    <m/>
    <m/>
    <m/>
    <m/>
    <m/>
    <s v=""/>
    <s v=""/>
    <s v="2026-01"/>
  </r>
  <r>
    <x v="129"/>
    <x v="8"/>
    <n v="8400"/>
    <s v="FINALIZADO"/>
    <s v="Conforme"/>
    <m/>
    <m/>
    <m/>
    <m/>
    <m/>
    <s v=""/>
    <s v=""/>
    <s v="2026-01"/>
  </r>
  <r>
    <x v="129"/>
    <x v="2"/>
    <n v="10000"/>
    <s v="FINALIZADO"/>
    <s v="Conforme"/>
    <m/>
    <m/>
    <m/>
    <m/>
    <m/>
    <s v=""/>
    <s v=""/>
    <s v="2026-01"/>
  </r>
  <r>
    <x v="129"/>
    <x v="30"/>
    <n v="1000"/>
    <s v="FINALIZADO"/>
    <s v="Conforme"/>
    <m/>
    <m/>
    <m/>
    <m/>
    <m/>
    <s v=""/>
    <s v=""/>
    <s v="2026-01"/>
  </r>
  <r>
    <x v="129"/>
    <x v="9"/>
    <n v="800"/>
    <s v="FINALIZADO"/>
    <s v="Conforme"/>
    <m/>
    <m/>
    <m/>
    <m/>
    <m/>
    <s v=""/>
    <s v=""/>
    <s v="2026-01"/>
  </r>
  <r>
    <x v="129"/>
    <x v="5"/>
    <n v="650"/>
    <s v="FINALIZADO"/>
    <s v="Conforme"/>
    <m/>
    <m/>
    <m/>
    <m/>
    <m/>
    <s v=""/>
    <s v=""/>
    <s v="2026-01"/>
  </r>
  <r>
    <x v="129"/>
    <x v="6"/>
    <n v="9500"/>
    <s v="FINALIZADO"/>
    <s v="Conforme"/>
    <m/>
    <m/>
    <m/>
    <m/>
    <m/>
    <s v=""/>
    <s v=""/>
    <s v="2026-01"/>
  </r>
  <r>
    <x v="130"/>
    <x v="6"/>
    <n v="1500"/>
    <s v="FINALIZADO"/>
    <s v="Conforme"/>
    <m/>
    <m/>
    <m/>
    <m/>
    <m/>
    <s v=""/>
    <s v=""/>
    <s v="2026-01"/>
  </r>
  <r>
    <x v="130"/>
    <x v="21"/>
    <n v="1050"/>
    <s v="FINALIZADO"/>
    <s v="Conforme"/>
    <m/>
    <m/>
    <m/>
    <m/>
    <m/>
    <s v=""/>
    <s v=""/>
    <s v="2026-01"/>
  </r>
  <r>
    <x v="130"/>
    <x v="8"/>
    <n v="5400"/>
    <s v="FINALIZADO"/>
    <s v="Conforme"/>
    <m/>
    <m/>
    <m/>
    <m/>
    <m/>
    <s v=""/>
    <s v=""/>
    <s v="2026-01"/>
  </r>
  <r>
    <x v="130"/>
    <x v="12"/>
    <n v="1000"/>
    <s v="FINALIZADO"/>
    <s v="Conforme"/>
    <m/>
    <m/>
    <m/>
    <m/>
    <m/>
    <s v=""/>
    <s v=""/>
    <s v="2026-01"/>
  </r>
  <r>
    <x v="130"/>
    <x v="25"/>
    <n v="5500"/>
    <s v="FINALIZADO"/>
    <s v="Conforme"/>
    <m/>
    <m/>
    <m/>
    <m/>
    <m/>
    <s v=""/>
    <s v=""/>
    <s v="2026-01"/>
  </r>
  <r>
    <x v="130"/>
    <x v="0"/>
    <n v="16170"/>
    <s v="FINALIZADO"/>
    <s v="Conforme"/>
    <m/>
    <m/>
    <m/>
    <m/>
    <m/>
    <s v=""/>
    <s v=""/>
    <s v="2026-01"/>
  </r>
  <r>
    <x v="131"/>
    <x v="2"/>
    <n v="10000"/>
    <s v="FINALIZADO"/>
    <s v="Conforme"/>
    <m/>
    <m/>
    <m/>
    <m/>
    <m/>
    <s v=""/>
    <s v=""/>
    <s v="2026-01"/>
  </r>
  <r>
    <x v="131"/>
    <x v="30"/>
    <n v="3000"/>
    <s v="FINALIZADO"/>
    <s v="Conforme"/>
    <m/>
    <m/>
    <m/>
    <m/>
    <m/>
    <s v=""/>
    <s v=""/>
    <s v="2026-01"/>
  </r>
  <r>
    <x v="131"/>
    <x v="8"/>
    <n v="4050"/>
    <s v="FINALIZADO"/>
    <s v="Conforme"/>
    <m/>
    <m/>
    <m/>
    <m/>
    <m/>
    <s v=""/>
    <s v=""/>
    <s v="2026-01"/>
  </r>
  <r>
    <x v="131"/>
    <x v="8"/>
    <n v="5400"/>
    <s v="FINALIZADO"/>
    <s v="Conforme"/>
    <m/>
    <m/>
    <m/>
    <m/>
    <m/>
    <s v=""/>
    <s v=""/>
    <s v="2026-01"/>
  </r>
  <r>
    <x v="132"/>
    <x v="43"/>
    <n v="8960"/>
    <s v="FINALIZADO"/>
    <s v="Conforme"/>
    <m/>
    <m/>
    <m/>
    <m/>
    <m/>
    <s v=""/>
    <s v=""/>
    <s v="2026-01"/>
  </r>
  <r>
    <x v="132"/>
    <x v="22"/>
    <n v="3000"/>
    <s v="FINALIZADO"/>
    <s v="Conforme"/>
    <m/>
    <m/>
    <m/>
    <m/>
    <m/>
    <s v=""/>
    <s v=""/>
    <s v="2026-01"/>
  </r>
  <r>
    <x v="132"/>
    <x v="4"/>
    <n v="11000"/>
    <s v="FINALIZADO"/>
    <s v="Conforme"/>
    <m/>
    <m/>
    <m/>
    <m/>
    <m/>
    <s v=""/>
    <s v=""/>
    <s v="2026-01"/>
  </r>
  <r>
    <x v="133"/>
    <x v="6"/>
    <n v="15000"/>
    <s v="FINALIZADO"/>
    <s v="Conforme"/>
    <m/>
    <m/>
    <m/>
    <m/>
    <m/>
    <s v=""/>
    <s v=""/>
    <s v="2026-01"/>
  </r>
  <r>
    <x v="133"/>
    <x v="6"/>
    <n v="3000"/>
    <s v="FINALIZADO"/>
    <s v="Conforme"/>
    <m/>
    <m/>
    <m/>
    <m/>
    <m/>
    <s v=""/>
    <s v=""/>
    <s v="2026-01"/>
  </r>
  <r>
    <x v="133"/>
    <x v="6"/>
    <n v="3000"/>
    <s v="FINALIZADO"/>
    <s v="Conforme"/>
    <m/>
    <m/>
    <m/>
    <m/>
    <m/>
    <s v=""/>
    <s v=""/>
    <s v="2026-01"/>
  </r>
  <r>
    <x v="133"/>
    <x v="4"/>
    <n v="1100"/>
    <s v="FINALIZADO"/>
    <s v="Conforme"/>
    <m/>
    <m/>
    <m/>
    <m/>
    <m/>
    <s v=""/>
    <s v=""/>
    <s v="2026-01"/>
  </r>
  <r>
    <x v="133"/>
    <x v="17"/>
    <n v="210"/>
    <s v="FINALIZADO"/>
    <s v="Conforme"/>
    <m/>
    <m/>
    <m/>
    <m/>
    <m/>
    <s v=""/>
    <s v=""/>
    <s v="2026-01"/>
  </r>
  <r>
    <x v="133"/>
    <x v="8"/>
    <n v="1350"/>
    <s v="FINALIZADO"/>
    <s v="Conforme"/>
    <m/>
    <m/>
    <m/>
    <m/>
    <m/>
    <s v=""/>
    <s v=""/>
    <s v="2026-01"/>
  </r>
  <r>
    <x v="133"/>
    <x v="8"/>
    <n v="1350"/>
    <s v="FINALIZADO"/>
    <s v="Conforme"/>
    <m/>
    <m/>
    <m/>
    <m/>
    <m/>
    <s v=""/>
    <s v=""/>
    <s v="2026-01"/>
  </r>
  <r>
    <x v="133"/>
    <x v="0"/>
    <n v="7880"/>
    <s v="FINALIZADO"/>
    <s v="Conforme"/>
    <m/>
    <m/>
    <m/>
    <m/>
    <m/>
    <s v=""/>
    <s v=""/>
    <s v="2026-01"/>
  </r>
  <r>
    <x v="134"/>
    <x v="7"/>
    <n v="1050"/>
    <s v="FINALIZADO"/>
    <s v="Conforme"/>
    <m/>
    <m/>
    <m/>
    <m/>
    <m/>
    <s v=""/>
    <s v=""/>
    <s v="2026-01"/>
  </r>
  <r>
    <x v="134"/>
    <x v="8"/>
    <n v="2700"/>
    <s v="FINALIZADO"/>
    <s v="Conforme"/>
    <m/>
    <m/>
    <m/>
    <m/>
    <m/>
    <s v=""/>
    <s v=""/>
    <s v="2026-01"/>
  </r>
  <r>
    <x v="134"/>
    <x v="8"/>
    <n v="1350"/>
    <s v="FINALIZADO"/>
    <s v="Conforme"/>
    <m/>
    <m/>
    <m/>
    <m/>
    <m/>
    <s v=""/>
    <s v=""/>
    <s v="2026-01"/>
  </r>
  <r>
    <x v="134"/>
    <x v="8"/>
    <n v="1350"/>
    <s v="FINALIZADO"/>
    <s v="Conforme"/>
    <m/>
    <m/>
    <m/>
    <m/>
    <m/>
    <s v=""/>
    <s v=""/>
    <s v="2026-01"/>
  </r>
  <r>
    <x v="135"/>
    <x v="16"/>
    <s v="1250"/>
    <s v="FINALIZADO"/>
    <s v="Conforme"/>
    <m/>
    <m/>
    <m/>
    <m/>
    <m/>
    <s v=""/>
    <s v=""/>
    <s v="2026-01"/>
  </r>
  <r>
    <x v="135"/>
    <x v="8"/>
    <n v="2700"/>
    <s v="FINALIZADO"/>
    <s v="Conforme"/>
    <m/>
    <m/>
    <m/>
    <m/>
    <m/>
    <s v=""/>
    <s v=""/>
    <s v="2026-01"/>
  </r>
  <r>
    <x v="135"/>
    <x v="8"/>
    <n v="1350"/>
    <s v="FINALIZADO"/>
    <s v="Conforme"/>
    <m/>
    <m/>
    <m/>
    <m/>
    <m/>
    <s v=""/>
    <s v=""/>
    <s v="2026-01"/>
  </r>
  <r>
    <x v="135"/>
    <x v="8"/>
    <n v="4050"/>
    <s v="FINALIZADO"/>
    <s v="Conforme"/>
    <m/>
    <m/>
    <m/>
    <m/>
    <m/>
    <s v=""/>
    <s v=""/>
    <s v="2026-01"/>
  </r>
  <r>
    <x v="135"/>
    <x v="17"/>
    <n v="210"/>
    <s v="FINALIZADO"/>
    <s v="Conforme"/>
    <m/>
    <m/>
    <m/>
    <m/>
    <m/>
    <s v=""/>
    <s v=""/>
    <s v="2026-01"/>
  </r>
  <r>
    <x v="135"/>
    <x v="0"/>
    <n v="10000"/>
    <s v="FINALIZADO"/>
    <s v="Conforme"/>
    <m/>
    <m/>
    <m/>
    <m/>
    <m/>
    <s v=""/>
    <s v=""/>
    <s v="2026-01"/>
  </r>
  <r>
    <x v="135"/>
    <x v="2"/>
    <n v="10000"/>
    <s v="FINALIZADO"/>
    <s v="Conforme"/>
    <m/>
    <m/>
    <m/>
    <m/>
    <m/>
    <s v=""/>
    <s v=""/>
    <s v="2026-01"/>
  </r>
  <r>
    <x v="135"/>
    <x v="6"/>
    <n v="1500"/>
    <s v="FINALIZADO"/>
    <s v="Conforme"/>
    <m/>
    <m/>
    <m/>
    <m/>
    <m/>
    <s v=""/>
    <s v=""/>
    <s v="2026-01"/>
  </r>
  <r>
    <x v="135"/>
    <x v="6"/>
    <n v="7500"/>
    <s v="FINALIZADO"/>
    <s v="Conforme"/>
    <m/>
    <m/>
    <m/>
    <m/>
    <m/>
    <s v=""/>
    <s v=""/>
    <s v="2026-01"/>
  </r>
  <r>
    <x v="135"/>
    <x v="25"/>
    <n v="2200"/>
    <s v="FINALIZADO"/>
    <s v="Conforme"/>
    <m/>
    <m/>
    <m/>
    <m/>
    <m/>
    <s v=""/>
    <s v=""/>
    <s v="2026-01"/>
  </r>
  <r>
    <x v="135"/>
    <x v="25"/>
    <n v="1100"/>
    <s v="FINALIZADO"/>
    <s v="Conforme"/>
    <m/>
    <m/>
    <m/>
    <m/>
    <m/>
    <s v=""/>
    <s v=""/>
    <s v="2026-01"/>
  </r>
  <r>
    <x v="136"/>
    <x v="16"/>
    <n v="1250"/>
    <s v="FINALIZADO"/>
    <s v="Conforme"/>
    <m/>
    <m/>
    <m/>
    <m/>
    <m/>
    <s v=""/>
    <s v=""/>
    <s v="2026-01"/>
  </r>
  <r>
    <x v="136"/>
    <x v="8"/>
    <n v="14000"/>
    <s v="FINALIZADO"/>
    <s v="Conforme"/>
    <m/>
    <m/>
    <m/>
    <m/>
    <m/>
    <s v=""/>
    <s v=""/>
    <s v="2026-01"/>
  </r>
  <r>
    <x v="136"/>
    <x v="8"/>
    <n v="5400"/>
    <s v="FINALIZADO"/>
    <s v="Conforme"/>
    <m/>
    <m/>
    <m/>
    <m/>
    <m/>
    <s v=""/>
    <s v=""/>
    <s v="2026-01"/>
  </r>
  <r>
    <x v="136"/>
    <x v="8"/>
    <n v="2700"/>
    <s v="FINALIZADO"/>
    <s v="Conforme"/>
    <m/>
    <m/>
    <m/>
    <m/>
    <m/>
    <s v=""/>
    <s v=""/>
    <s v="2026-01"/>
  </r>
  <r>
    <x v="136"/>
    <x v="8"/>
    <n v="1350"/>
    <s v="FINALIZADO"/>
    <s v="Conforme"/>
    <m/>
    <m/>
    <m/>
    <m/>
    <m/>
    <s v=""/>
    <s v=""/>
    <s v="2026-01"/>
  </r>
  <r>
    <x v="136"/>
    <x v="1"/>
    <n v="2000"/>
    <s v="FINALIZADO"/>
    <s v="Conforme"/>
    <m/>
    <m/>
    <m/>
    <m/>
    <m/>
    <s v=""/>
    <s v=""/>
    <s v="2026-01"/>
  </r>
  <r>
    <x v="136"/>
    <x v="40"/>
    <n v="2000"/>
    <s v="FINALIZADO"/>
    <s v="Conforme"/>
    <m/>
    <m/>
    <m/>
    <m/>
    <m/>
    <s v=""/>
    <s v=""/>
    <s v="2026-01"/>
  </r>
  <r>
    <x v="136"/>
    <x v="35"/>
    <n v="2500"/>
    <s v="FINALIZADO"/>
    <s v="Conforme"/>
    <m/>
    <m/>
    <m/>
    <m/>
    <m/>
    <s v=""/>
    <s v=""/>
    <s v="2026-01"/>
  </r>
  <r>
    <x v="136"/>
    <x v="25"/>
    <n v="1100"/>
    <s v="FINALIZADO"/>
    <s v="Conforme"/>
    <m/>
    <m/>
    <m/>
    <m/>
    <m/>
    <s v=""/>
    <s v=""/>
    <s v="2026-01"/>
  </r>
  <r>
    <x v="137"/>
    <x v="21"/>
    <n v="1050"/>
    <s v="FINALIZADO"/>
    <s v="Conforme"/>
    <m/>
    <m/>
    <m/>
    <m/>
    <m/>
    <s v=""/>
    <s v=""/>
    <s v="2026-01"/>
  </r>
  <r>
    <x v="137"/>
    <x v="21"/>
    <n v="1050"/>
    <s v="FINALIZADO"/>
    <s v="Conforme"/>
    <m/>
    <m/>
    <m/>
    <m/>
    <m/>
    <s v=""/>
    <s v=""/>
    <s v="2026-01"/>
  </r>
  <r>
    <x v="137"/>
    <x v="12"/>
    <n v="1000"/>
    <s v="FINALIZADO"/>
    <s v="Conforme"/>
    <m/>
    <m/>
    <m/>
    <m/>
    <m/>
    <s v=""/>
    <s v=""/>
    <s v="2026-01"/>
  </r>
  <r>
    <x v="137"/>
    <x v="27"/>
    <n v="1000"/>
    <s v="FINALIZADO"/>
    <s v="Conforme"/>
    <m/>
    <m/>
    <m/>
    <m/>
    <m/>
    <s v=""/>
    <s v=""/>
    <s v="2026-01"/>
  </r>
  <r>
    <x v="137"/>
    <x v="10"/>
    <n v="1800"/>
    <s v="FINALIZADO"/>
    <s v="Conforme"/>
    <m/>
    <m/>
    <m/>
    <m/>
    <m/>
    <s v=""/>
    <s v=""/>
    <s v="2026-01"/>
  </r>
  <r>
    <x v="137"/>
    <x v="8"/>
    <n v="1350"/>
    <s v="FINALIZADO"/>
    <s v="Conforme"/>
    <m/>
    <m/>
    <m/>
    <m/>
    <m/>
    <s v=""/>
    <s v=""/>
    <s v="2026-01"/>
  </r>
  <r>
    <x v="137"/>
    <x v="8"/>
    <n v="1350"/>
    <s v="FINALIZADO"/>
    <s v="Conforme"/>
    <m/>
    <m/>
    <m/>
    <m/>
    <m/>
    <s v=""/>
    <s v=""/>
    <s v="2026-01"/>
  </r>
  <r>
    <x v="137"/>
    <x v="39"/>
    <n v="3300"/>
    <s v="FINALIZADO"/>
    <s v="Conforme"/>
    <m/>
    <m/>
    <m/>
    <m/>
    <m/>
    <s v=""/>
    <s v=""/>
    <s v="2026-01"/>
  </r>
  <r>
    <x v="137"/>
    <x v="2"/>
    <n v="10000"/>
    <s v="FINALIZADO"/>
    <s v="Conforme"/>
    <m/>
    <m/>
    <m/>
    <m/>
    <m/>
    <s v=""/>
    <s v=""/>
    <s v="2026-01"/>
  </r>
  <r>
    <x v="137"/>
    <x v="8"/>
    <n v="4050"/>
    <s v="FINALIZADO"/>
    <s v="Conforme"/>
    <m/>
    <m/>
    <m/>
    <m/>
    <m/>
    <s v=""/>
    <s v=""/>
    <s v="2026-01"/>
  </r>
  <r>
    <x v="137"/>
    <x v="6"/>
    <n v="4500"/>
    <s v="FINALIZADO"/>
    <s v="Conforme"/>
    <m/>
    <m/>
    <m/>
    <m/>
    <m/>
    <s v=""/>
    <s v=""/>
    <s v="2026-01"/>
  </r>
  <r>
    <x v="137"/>
    <x v="46"/>
    <n v="5000"/>
    <s v="FINALIZADO"/>
    <s v="Conforme"/>
    <m/>
    <m/>
    <m/>
    <m/>
    <m/>
    <s v=""/>
    <s v=""/>
    <s v="2026-01"/>
  </r>
  <r>
    <x v="137"/>
    <x v="25"/>
    <n v="1100"/>
    <s v="FINALIZADO"/>
    <s v="Conforme"/>
    <m/>
    <m/>
    <m/>
    <m/>
    <m/>
    <s v=""/>
    <s v=""/>
    <s v="2026-01"/>
  </r>
  <r>
    <x v="138"/>
    <x v="30"/>
    <n v="4000"/>
    <s v="FINALIZADO"/>
    <s v="Conforme"/>
    <m/>
    <m/>
    <m/>
    <m/>
    <m/>
    <s v=""/>
    <s v=""/>
    <s v="2026-01"/>
  </r>
  <r>
    <x v="138"/>
    <x v="8"/>
    <n v="1350"/>
    <s v="FINALIZADO"/>
    <s v="Conforme"/>
    <m/>
    <m/>
    <m/>
    <m/>
    <m/>
    <s v=""/>
    <s v=""/>
    <s v="2026-01"/>
  </r>
  <r>
    <x v="138"/>
    <x v="8"/>
    <n v="1350"/>
    <s v="FINALIZADO"/>
    <s v="Conforme"/>
    <m/>
    <m/>
    <m/>
    <m/>
    <m/>
    <s v=""/>
    <s v=""/>
    <s v="2026-01"/>
  </r>
  <r>
    <x v="138"/>
    <x v="15"/>
    <n v="10000"/>
    <s v="FINALIZADO"/>
    <s v="Conforme"/>
    <m/>
    <m/>
    <m/>
    <m/>
    <m/>
    <s v=""/>
    <s v=""/>
    <s v="2026-01"/>
  </r>
  <r>
    <x v="138"/>
    <x v="43"/>
    <n v="10080"/>
    <s v="FINALIZADO"/>
    <s v="Conforme"/>
    <m/>
    <m/>
    <m/>
    <m/>
    <m/>
    <s v=""/>
    <s v=""/>
    <s v="2026-01"/>
  </r>
  <r>
    <x v="138"/>
    <x v="2"/>
    <n v="7600"/>
    <s v="FINALIZADO"/>
    <s v="Conforme"/>
    <m/>
    <m/>
    <m/>
    <m/>
    <m/>
    <s v=""/>
    <s v=""/>
    <s v="2026-01"/>
  </r>
  <r>
    <x v="139"/>
    <x v="7"/>
    <n v="3150"/>
    <s v="FINALIZADO"/>
    <s v="Conforme"/>
    <m/>
    <m/>
    <m/>
    <m/>
    <m/>
    <s v=""/>
    <s v=""/>
    <s v="2026-01"/>
  </r>
  <r>
    <x v="139"/>
    <x v="0"/>
    <n v="10000"/>
    <s v="FINALIZADO"/>
    <s v="Conforme"/>
    <m/>
    <m/>
    <m/>
    <m/>
    <m/>
    <s v=""/>
    <s v=""/>
    <s v="2026-01"/>
  </r>
  <r>
    <x v="139"/>
    <x v="3"/>
    <n v="10400"/>
    <s v="FINALIZADO"/>
    <s v="Conforme"/>
    <m/>
    <m/>
    <m/>
    <m/>
    <m/>
    <s v=""/>
    <s v=""/>
    <s v="2026-01"/>
  </r>
  <r>
    <x v="139"/>
    <x v="4"/>
    <n v="1000"/>
    <s v="FINALIZADO"/>
    <s v="Conforme"/>
    <m/>
    <m/>
    <m/>
    <m/>
    <m/>
    <s v=""/>
    <s v=""/>
    <s v="2026-01"/>
  </r>
  <r>
    <x v="139"/>
    <x v="17"/>
    <n v="210"/>
    <s v="FINALIZADO"/>
    <s v="Conforme"/>
    <m/>
    <m/>
    <m/>
    <m/>
    <m/>
    <s v=""/>
    <s v=""/>
    <s v="2026-01"/>
  </r>
  <r>
    <x v="139"/>
    <x v="25"/>
    <n v="2200"/>
    <s v="FINALIZADO"/>
    <s v="Conforme"/>
    <m/>
    <m/>
    <m/>
    <m/>
    <m/>
    <s v=""/>
    <s v=""/>
    <s v="2026-01"/>
  </r>
  <r>
    <x v="139"/>
    <x v="9"/>
    <n v="1000"/>
    <s v="FINALIZADO"/>
    <s v="Conforme"/>
    <m/>
    <m/>
    <m/>
    <m/>
    <m/>
    <s v=""/>
    <s v=""/>
    <s v="2026-01"/>
  </r>
  <r>
    <x v="139"/>
    <x v="10"/>
    <n v="900"/>
    <s v="FINALIZADO"/>
    <s v="Conforme"/>
    <m/>
    <m/>
    <m/>
    <m/>
    <m/>
    <s v=""/>
    <s v=""/>
    <s v="2026-01"/>
  </r>
  <r>
    <x v="140"/>
    <x v="21"/>
    <n v="1050"/>
    <s v="FINALIZADO"/>
    <s v="Conforme"/>
    <m/>
    <m/>
    <m/>
    <m/>
    <m/>
    <s v=""/>
    <s v=""/>
    <s v="2026-01"/>
  </r>
  <r>
    <x v="140"/>
    <x v="21"/>
    <n v="1050"/>
    <s v="FINALIZADO"/>
    <s v="Conforme"/>
    <m/>
    <m/>
    <m/>
    <m/>
    <m/>
    <s v=""/>
    <s v=""/>
    <s v="2026-01"/>
  </r>
  <r>
    <x v="140"/>
    <x v="30"/>
    <n v="4000"/>
    <s v="FINALIZADO"/>
    <s v="Conforme"/>
    <m/>
    <m/>
    <m/>
    <m/>
    <m/>
    <s v=""/>
    <s v=""/>
    <s v="2026-01"/>
  </r>
  <r>
    <x v="140"/>
    <x v="17"/>
    <n v="620"/>
    <s v="FINALIZADO"/>
    <s v="Conforme"/>
    <m/>
    <m/>
    <m/>
    <m/>
    <m/>
    <s v=""/>
    <s v=""/>
    <s v="2026-01"/>
  </r>
  <r>
    <x v="140"/>
    <x v="16"/>
    <n v="1250"/>
    <s v="FINALIZADO"/>
    <s v="Conforme"/>
    <m/>
    <m/>
    <m/>
    <m/>
    <m/>
    <s v=""/>
    <s v=""/>
    <s v="2026-01"/>
  </r>
  <r>
    <x v="140"/>
    <x v="8"/>
    <n v="1350"/>
    <s v="FINALIZADO"/>
    <s v="Conforme"/>
    <m/>
    <m/>
    <m/>
    <m/>
    <m/>
    <s v=""/>
    <s v=""/>
    <s v="2026-01"/>
  </r>
  <r>
    <x v="140"/>
    <x v="8"/>
    <n v="4050"/>
    <s v="FINALIZADO"/>
    <s v="Conforme"/>
    <m/>
    <m/>
    <m/>
    <m/>
    <m/>
    <s v=""/>
    <s v=""/>
    <s v="2026-01"/>
  </r>
  <r>
    <x v="140"/>
    <x v="14"/>
    <n v="900"/>
    <s v="FINALIZADO"/>
    <s v="Conforme"/>
    <m/>
    <m/>
    <m/>
    <m/>
    <m/>
    <s v=""/>
    <s v=""/>
    <s v="2026-01"/>
  </r>
  <r>
    <x v="140"/>
    <x v="19"/>
    <n v="8500"/>
    <s v="FINALIZADO"/>
    <s v="Conforme"/>
    <m/>
    <m/>
    <m/>
    <m/>
    <m/>
    <s v=""/>
    <s v=""/>
    <s v="2026-01"/>
  </r>
  <r>
    <x v="141"/>
    <x v="33"/>
    <n v="1000"/>
    <s v="FINALIZADO"/>
    <s v="Conforme"/>
    <m/>
    <m/>
    <m/>
    <m/>
    <m/>
    <s v=""/>
    <s v=""/>
    <s v="2026-01"/>
  </r>
  <r>
    <x v="141"/>
    <x v="30"/>
    <n v="4000"/>
    <s v="FINALIZADO"/>
    <s v="Conforme"/>
    <m/>
    <m/>
    <m/>
    <m/>
    <m/>
    <s v=""/>
    <s v=""/>
    <s v="2026-01"/>
  </r>
  <r>
    <x v="141"/>
    <x v="8"/>
    <n v="1350"/>
    <s v="FINALIZADO"/>
    <s v="Conforme"/>
    <m/>
    <m/>
    <m/>
    <m/>
    <m/>
    <s v=""/>
    <s v=""/>
    <s v="2026-01"/>
  </r>
  <r>
    <x v="141"/>
    <x v="41"/>
    <n v="16500"/>
    <s v="FINALIZADO"/>
    <s v="Conforme"/>
    <m/>
    <m/>
    <m/>
    <m/>
    <m/>
    <s v=""/>
    <s v=""/>
    <s v="2026-01"/>
  </r>
  <r>
    <x v="141"/>
    <x v="5"/>
    <n v="485"/>
    <s v="FINALIZADO"/>
    <s v="Conforme"/>
    <m/>
    <m/>
    <m/>
    <m/>
    <m/>
    <s v=""/>
    <s v=""/>
    <s v="2026-01"/>
  </r>
  <r>
    <x v="141"/>
    <x v="29"/>
    <n v="1000"/>
    <s v="FINALIZADO"/>
    <s v="Conforme"/>
    <m/>
    <m/>
    <m/>
    <m/>
    <m/>
    <s v=""/>
    <s v=""/>
    <s v="2026-01"/>
  </r>
  <r>
    <x v="142"/>
    <x v="4"/>
    <n v="6300"/>
    <s v="FINALIZADO"/>
    <s v="Conforme"/>
    <m/>
    <m/>
    <m/>
    <m/>
    <m/>
    <s v=""/>
    <s v=""/>
    <s v="2026-01"/>
  </r>
  <r>
    <x v="142"/>
    <x v="4"/>
    <n v="5850"/>
    <s v="FINALIZADO"/>
    <s v="Conforme"/>
    <m/>
    <m/>
    <m/>
    <m/>
    <m/>
    <s v=""/>
    <s v=""/>
    <s v="2026-01"/>
  </r>
  <r>
    <x v="142"/>
    <x v="17"/>
    <n v="2100"/>
    <s v="FINALIZADO"/>
    <s v="Conforme"/>
    <m/>
    <m/>
    <m/>
    <m/>
    <m/>
    <s v=""/>
    <s v=""/>
    <s v="2026-01"/>
  </r>
  <r>
    <x v="142"/>
    <x v="47"/>
    <n v="2000"/>
    <s v="FINALIZADO"/>
    <s v="Conforme"/>
    <m/>
    <m/>
    <m/>
    <m/>
    <m/>
    <s v=""/>
    <s v=""/>
    <s v="2026-01"/>
  </r>
  <r>
    <x v="142"/>
    <x v="22"/>
    <n v="1000"/>
    <s v="FINALIZADO"/>
    <s v="Conforme"/>
    <m/>
    <m/>
    <m/>
    <m/>
    <m/>
    <s v=""/>
    <s v=""/>
    <s v="2026-01"/>
  </r>
  <r>
    <x v="142"/>
    <x v="22"/>
    <n v="1000"/>
    <s v="FINALIZADO"/>
    <s v="Conforme"/>
    <m/>
    <m/>
    <m/>
    <m/>
    <m/>
    <s v=""/>
    <s v=""/>
    <s v="2026-01"/>
  </r>
  <r>
    <x v="142"/>
    <x v="30"/>
    <n v="2000"/>
    <s v="FINALIZADO"/>
    <s v="Conforme"/>
    <m/>
    <m/>
    <m/>
    <m/>
    <m/>
    <s v=""/>
    <s v=""/>
    <s v="2026-01"/>
  </r>
  <r>
    <x v="142"/>
    <x v="8"/>
    <n v="8100"/>
    <s v="FINALIZADO"/>
    <s v="Conforme"/>
    <m/>
    <m/>
    <m/>
    <m/>
    <m/>
    <s v=""/>
    <s v=""/>
    <s v="2026-01"/>
  </r>
  <r>
    <x v="142"/>
    <x v="16"/>
    <n v="1000"/>
    <s v="FINALIZADO"/>
    <s v="Conforme"/>
    <m/>
    <m/>
    <m/>
    <m/>
    <m/>
    <s v=""/>
    <s v=""/>
    <s v="2026-01"/>
  </r>
  <r>
    <x v="142"/>
    <x v="8"/>
    <n v="4050"/>
    <s v="FINALIZADO"/>
    <s v="Conforme"/>
    <m/>
    <m/>
    <m/>
    <m/>
    <m/>
    <s v=""/>
    <s v=""/>
    <s v="2026-01"/>
  </r>
  <r>
    <x v="142"/>
    <x v="8"/>
    <n v="2700"/>
    <s v="FINALIZADO"/>
    <s v="Conforme"/>
    <m/>
    <m/>
    <m/>
    <m/>
    <m/>
    <s v=""/>
    <s v=""/>
    <s v="2026-01"/>
  </r>
  <r>
    <x v="143"/>
    <x v="43"/>
    <n v="11200"/>
    <s v="FINALIZADO"/>
    <s v="Conforme"/>
    <m/>
    <m/>
    <m/>
    <m/>
    <m/>
    <s v=""/>
    <s v=""/>
    <s v="2026-01"/>
  </r>
  <r>
    <x v="144"/>
    <x v="21"/>
    <n v="2100"/>
    <s v="FINALIZADO"/>
    <s v="Conforme"/>
    <m/>
    <m/>
    <m/>
    <m/>
    <m/>
    <s v=""/>
    <s v=""/>
    <s v="2026-02"/>
  </r>
  <r>
    <x v="144"/>
    <x v="41"/>
    <n v="16500"/>
    <s v="FINALIZADO"/>
    <s v="Conforme"/>
    <m/>
    <m/>
    <m/>
    <m/>
    <m/>
    <s v=""/>
    <s v=""/>
    <s v="2026-02"/>
  </r>
  <r>
    <x v="144"/>
    <x v="25"/>
    <n v="1100"/>
    <s v="FINALIZADO"/>
    <s v="Conforme"/>
    <m/>
    <m/>
    <m/>
    <m/>
    <m/>
    <s v=""/>
    <s v=""/>
    <s v="2026-02"/>
  </r>
  <r>
    <x v="144"/>
    <x v="1"/>
    <n v="1000"/>
    <s v="FINALIZADO"/>
    <s v="Conforme"/>
    <m/>
    <m/>
    <m/>
    <m/>
    <m/>
    <s v=""/>
    <s v=""/>
    <s v="2026-02"/>
  </r>
  <r>
    <x v="145"/>
    <x v="10"/>
    <n v="6300"/>
    <s v="FINALIZADO"/>
    <s v="Conforme"/>
    <m/>
    <m/>
    <m/>
    <m/>
    <m/>
    <s v=""/>
    <s v=""/>
    <s v="2026-02"/>
  </r>
  <r>
    <x v="145"/>
    <x v="15"/>
    <n v="10000"/>
    <s v="FINALIZADO"/>
    <s v="Conforme"/>
    <m/>
    <m/>
    <m/>
    <m/>
    <m/>
    <s v=""/>
    <s v=""/>
    <s v="2026-02"/>
  </r>
  <r>
    <x v="145"/>
    <x v="3"/>
    <n v="10400"/>
    <s v="FINALIZADO"/>
    <s v="Conforme"/>
    <m/>
    <m/>
    <m/>
    <m/>
    <m/>
    <s v=""/>
    <s v=""/>
    <s v="2026-02"/>
  </r>
  <r>
    <x v="146"/>
    <x v="15"/>
    <n v="10000"/>
    <s v="FINALIZADO"/>
    <s v="Conforme"/>
    <m/>
    <m/>
    <m/>
    <m/>
    <m/>
    <s v=""/>
    <s v=""/>
    <s v="2026-02"/>
  </r>
  <r>
    <x v="146"/>
    <x v="2"/>
    <n v="10000"/>
    <s v="FINALIZADO"/>
    <s v="Conforme"/>
    <m/>
    <m/>
    <m/>
    <m/>
    <m/>
    <s v=""/>
    <s v=""/>
    <s v="2026-02"/>
  </r>
  <r>
    <x v="146"/>
    <x v="12"/>
    <n v="2000"/>
    <s v="FINALIZADO"/>
    <s v="Conforme"/>
    <m/>
    <m/>
    <m/>
    <m/>
    <m/>
    <s v=""/>
    <s v=""/>
    <s v="2026-02"/>
  </r>
  <r>
    <x v="147"/>
    <x v="10"/>
    <n v="900"/>
    <s v="FINALIZADO"/>
    <s v="Conforme"/>
    <m/>
    <m/>
    <m/>
    <m/>
    <m/>
    <s v=""/>
    <s v=""/>
    <s v="2026-02"/>
  </r>
  <r>
    <x v="147"/>
    <x v="30"/>
    <n v="2000"/>
    <s v="FINALIZADO"/>
    <s v="Conforme"/>
    <m/>
    <m/>
    <m/>
    <m/>
    <m/>
    <s v=""/>
    <s v=""/>
    <s v="2026-02"/>
  </r>
  <r>
    <x v="147"/>
    <x v="25"/>
    <n v="6600"/>
    <s v="FINALIZADO"/>
    <s v="Conforme"/>
    <m/>
    <m/>
    <m/>
    <m/>
    <m/>
    <s v=""/>
    <s v=""/>
    <s v="2026-02"/>
  </r>
  <r>
    <x v="148"/>
    <x v="21"/>
    <n v="1050"/>
    <s v="FINALIZADO"/>
    <s v="Conforme"/>
    <m/>
    <m/>
    <m/>
    <m/>
    <m/>
    <s v=""/>
    <s v=""/>
    <s v="2026-02"/>
  </r>
  <r>
    <x v="148"/>
    <x v="0"/>
    <n v="16170"/>
    <s v="FINALIZADO"/>
    <s v="Conforme"/>
    <m/>
    <m/>
    <m/>
    <m/>
    <m/>
    <s v=""/>
    <s v=""/>
    <s v="2026-02"/>
  </r>
  <r>
    <x v="148"/>
    <x v="10"/>
    <n v="1800"/>
    <s v="FINALIZADO"/>
    <s v="Conforme"/>
    <m/>
    <m/>
    <m/>
    <m/>
    <m/>
    <s v=""/>
    <s v=""/>
    <s v="2026-02"/>
  </r>
  <r>
    <x v="148"/>
    <x v="47"/>
    <n v="2000"/>
    <s v="FINALIZADO"/>
    <s v="Conforme"/>
    <m/>
    <m/>
    <m/>
    <m/>
    <m/>
    <s v=""/>
    <s v=""/>
    <s v="2026-02"/>
  </r>
  <r>
    <x v="148"/>
    <x v="41"/>
    <n v="16500"/>
    <s v="FINALIZADO"/>
    <s v="Conforme"/>
    <m/>
    <m/>
    <m/>
    <m/>
    <m/>
    <s v=""/>
    <s v=""/>
    <s v="2026-02"/>
  </r>
  <r>
    <x v="148"/>
    <x v="2"/>
    <n v="10000"/>
    <s v="FINALIZADO"/>
    <s v="Conforme"/>
    <m/>
    <m/>
    <m/>
    <m/>
    <m/>
    <s v=""/>
    <s v=""/>
    <s v="2026-02"/>
  </r>
  <r>
    <x v="149"/>
    <x v="0"/>
    <n v="10000"/>
    <s v="FINALIZADO"/>
    <s v="Conforme"/>
    <m/>
    <m/>
    <m/>
    <m/>
    <m/>
    <s v=""/>
    <s v=""/>
    <s v="2026-02"/>
  </r>
  <r>
    <x v="149"/>
    <x v="10"/>
    <n v="4500"/>
    <s v="FINALIZADO"/>
    <s v="Conforme"/>
    <m/>
    <m/>
    <m/>
    <m/>
    <m/>
    <s v=""/>
    <s v=""/>
    <s v="2026-02"/>
  </r>
  <r>
    <x v="149"/>
    <x v="25"/>
    <n v="8800"/>
    <s v="FINALIZADO"/>
    <s v="Conforme"/>
    <m/>
    <m/>
    <m/>
    <m/>
    <m/>
    <s v=""/>
    <s v=""/>
    <s v="2026-02"/>
  </r>
  <r>
    <x v="149"/>
    <x v="21"/>
    <n v="4200"/>
    <s v="FINALIZADO"/>
    <s v="Conforme"/>
    <m/>
    <m/>
    <m/>
    <m/>
    <m/>
    <s v=""/>
    <s v=""/>
    <s v="2026-02"/>
  </r>
  <r>
    <x v="149"/>
    <x v="30"/>
    <n v="4000"/>
    <s v="FINALIZADO"/>
    <s v="Conforme"/>
    <m/>
    <m/>
    <m/>
    <m/>
    <m/>
    <s v=""/>
    <s v=""/>
    <s v="2026-02"/>
  </r>
  <r>
    <x v="150"/>
    <x v="3"/>
    <n v="10400"/>
    <s v="FINALIZADO"/>
    <s v="Conforme"/>
    <m/>
    <m/>
    <m/>
    <m/>
    <m/>
    <s v=""/>
    <s v=""/>
    <s v="2026-02"/>
  </r>
  <r>
    <x v="151"/>
    <x v="15"/>
    <n v="5000"/>
    <s v="FINALIZADO"/>
    <s v="Conforme"/>
    <m/>
    <m/>
    <m/>
    <m/>
    <m/>
    <s v=""/>
    <s v=""/>
    <s v="2026-02"/>
  </r>
  <r>
    <x v="151"/>
    <x v="2"/>
    <n v="7000"/>
    <s v="FINALIZADO"/>
    <s v="Conforme"/>
    <m/>
    <m/>
    <m/>
    <m/>
    <m/>
    <s v=""/>
    <s v=""/>
    <s v="2026-02"/>
  </r>
  <r>
    <x v="151"/>
    <x v="17"/>
    <n v="6000"/>
    <s v="FINALIZADO"/>
    <s v="Conforme"/>
    <m/>
    <m/>
    <m/>
    <m/>
    <m/>
    <s v=""/>
    <s v=""/>
    <s v="2026-02"/>
  </r>
  <r>
    <x v="151"/>
    <x v="43"/>
    <n v="5600"/>
    <s v="FINALIZADO"/>
    <s v="Conforme"/>
    <m/>
    <m/>
    <m/>
    <m/>
    <m/>
    <s v=""/>
    <s v=""/>
    <s v="2026-02"/>
  </r>
  <r>
    <x v="151"/>
    <x v="39"/>
    <n v="2200"/>
    <s v="FINALIZADO"/>
    <s v="Conforme"/>
    <m/>
    <m/>
    <m/>
    <m/>
    <m/>
    <s v=""/>
    <s v=""/>
    <s v="2026-02"/>
  </r>
  <r>
    <x v="151"/>
    <x v="27"/>
    <n v="1000"/>
    <s v="FINALIZADO"/>
    <s v="Conforme"/>
    <m/>
    <m/>
    <m/>
    <m/>
    <m/>
    <s v=""/>
    <s v=""/>
    <s v="2026-02"/>
  </r>
  <r>
    <x v="152"/>
    <x v="27"/>
    <n v="1000"/>
    <s v="FINALIZADO"/>
    <s v="Conforme"/>
    <m/>
    <m/>
    <m/>
    <m/>
    <m/>
    <s v=""/>
    <s v=""/>
    <s v="2026-02"/>
  </r>
  <r>
    <x v="152"/>
    <x v="19"/>
    <n v="8500"/>
    <s v="FINALIZADO"/>
    <s v="Conforme"/>
    <m/>
    <m/>
    <m/>
    <m/>
    <m/>
    <s v=""/>
    <s v=""/>
    <s v="2026-02"/>
  </r>
  <r>
    <x v="152"/>
    <x v="47"/>
    <n v="2000"/>
    <s v="FINALIZADO"/>
    <s v="Conforme"/>
    <m/>
    <m/>
    <m/>
    <m/>
    <m/>
    <s v=""/>
    <s v=""/>
    <s v="2026-02"/>
  </r>
  <r>
    <x v="153"/>
    <x v="0"/>
    <n v="10000"/>
    <s v="FINALIZADO"/>
    <s v="Conforme"/>
    <m/>
    <m/>
    <m/>
    <m/>
    <m/>
    <s v=""/>
    <s v=""/>
    <s v="2026-02"/>
  </r>
  <r>
    <x v="154"/>
    <x v="4"/>
    <n v="9000"/>
    <s v="FINALIZADO"/>
    <s v="Conforme"/>
    <m/>
    <m/>
    <m/>
    <m/>
    <m/>
    <s v=""/>
    <s v=""/>
    <s v="2026-02"/>
  </r>
  <r>
    <x v="155"/>
    <x v="2"/>
    <n v="10000"/>
    <s v="FINALIZADO"/>
    <s v="Conforme"/>
    <m/>
    <m/>
    <m/>
    <m/>
    <m/>
    <s v=""/>
    <s v=""/>
    <s v="2026-02"/>
  </r>
  <r>
    <x v="155"/>
    <x v="10"/>
    <n v="3600"/>
    <s v="FINALIZADO"/>
    <s v="Conforme"/>
    <m/>
    <m/>
    <m/>
    <m/>
    <m/>
    <s v=""/>
    <s v=""/>
    <s v="2026-02"/>
  </r>
  <r>
    <x v="155"/>
    <x v="0"/>
    <n v="16170"/>
    <s v="FINALIZADO"/>
    <s v="Conforme"/>
    <m/>
    <m/>
    <m/>
    <m/>
    <m/>
    <s v=""/>
    <s v=""/>
    <s v="2026-02"/>
  </r>
  <r>
    <x v="156"/>
    <x v="21"/>
    <n v="1050"/>
    <s v="FINALIZADO"/>
    <s v="Conforme"/>
    <m/>
    <m/>
    <m/>
    <m/>
    <m/>
    <s v=""/>
    <s v=""/>
    <s v="2026-02"/>
  </r>
  <r>
    <x v="156"/>
    <x v="22"/>
    <n v="1000"/>
    <s v="FINALIZADO"/>
    <s v="Conforme"/>
    <m/>
    <m/>
    <m/>
    <m/>
    <m/>
    <s v=""/>
    <s v=""/>
    <s v="2026-02"/>
  </r>
  <r>
    <x v="157"/>
    <x v="24"/>
    <n v="6000"/>
    <s v="FINALIZADO"/>
    <s v="Conforme"/>
    <m/>
    <m/>
    <m/>
    <m/>
    <m/>
    <s v=""/>
    <s v=""/>
    <s v="2026-02"/>
  </r>
  <r>
    <x v="157"/>
    <x v="47"/>
    <n v="2000"/>
    <s v="FINALIZADO"/>
    <s v="Conforme"/>
    <m/>
    <m/>
    <m/>
    <m/>
    <m/>
    <s v=""/>
    <s v=""/>
    <s v="2026-02"/>
  </r>
  <r>
    <x v="157"/>
    <x v="41"/>
    <n v="16500"/>
    <s v="FINALIZADO"/>
    <s v="Conforme"/>
    <m/>
    <m/>
    <m/>
    <m/>
    <m/>
    <s v=""/>
    <s v=""/>
    <s v="2026-02"/>
  </r>
  <r>
    <x v="157"/>
    <x v="24"/>
    <n v="6800"/>
    <s v="FINALIZADO"/>
    <s v="Conforme"/>
    <m/>
    <m/>
    <m/>
    <m/>
    <m/>
    <s v=""/>
    <s v=""/>
    <s v="2026-02"/>
  </r>
  <r>
    <x v="158"/>
    <x v="2"/>
    <n v="10160"/>
    <s v="FINALIZADO"/>
    <s v="Conforme"/>
    <m/>
    <m/>
    <m/>
    <m/>
    <m/>
    <s v=""/>
    <s v=""/>
    <s v="2026-02"/>
  </r>
  <r>
    <x v="158"/>
    <x v="0"/>
    <n v="8900"/>
    <s v="FINALIZADO"/>
    <s v="Conforme"/>
    <m/>
    <m/>
    <m/>
    <m/>
    <m/>
    <s v=""/>
    <s v=""/>
    <s v="2026-02"/>
  </r>
  <r>
    <x v="158"/>
    <x v="35"/>
    <n v="2500"/>
    <s v="FINALIZADO"/>
    <s v="Conforme"/>
    <m/>
    <m/>
    <m/>
    <m/>
    <m/>
    <s v=""/>
    <s v=""/>
    <s v="2026-02"/>
  </r>
  <r>
    <x v="158"/>
    <x v="3"/>
    <n v="10400"/>
    <s v="FINALIZADO"/>
    <s v="Conforme"/>
    <m/>
    <m/>
    <m/>
    <m/>
    <m/>
    <s v=""/>
    <s v=""/>
    <s v="2026-02"/>
  </r>
  <r>
    <x v="159"/>
    <x v="24"/>
    <n v="1600"/>
    <s v="FINALIZADO"/>
    <s v="Conforme"/>
    <m/>
    <m/>
    <m/>
    <m/>
    <m/>
    <s v=""/>
    <s v=""/>
    <s v="2026-02"/>
  </r>
  <r>
    <x v="160"/>
    <x v="0"/>
    <n v="8500"/>
    <s v="FINALIZADO"/>
    <s v="Conforme"/>
    <m/>
    <m/>
    <m/>
    <m/>
    <m/>
    <s v=""/>
    <s v=""/>
    <s v="2026-02"/>
  </r>
  <r>
    <x v="160"/>
    <x v="22"/>
    <n v="2200"/>
    <s v="FINALIZADO"/>
    <s v="Conforme"/>
    <m/>
    <m/>
    <m/>
    <m/>
    <m/>
    <s v=""/>
    <s v=""/>
    <s v="2026-02"/>
  </r>
  <r>
    <x v="160"/>
    <x v="17"/>
    <n v="500"/>
    <s v="FINALIZADO"/>
    <s v="Conforme"/>
    <m/>
    <m/>
    <m/>
    <m/>
    <m/>
    <s v=""/>
    <s v=""/>
    <s v="2026-02"/>
  </r>
  <r>
    <x v="160"/>
    <x v="1"/>
    <n v="1000"/>
    <s v="FINALIZADO"/>
    <s v="Conforme"/>
    <m/>
    <m/>
    <m/>
    <m/>
    <m/>
    <s v=""/>
    <s v=""/>
    <s v="2026-02"/>
  </r>
  <r>
    <x v="160"/>
    <x v="5"/>
    <n v="650"/>
    <s v="FINALIZADO"/>
    <s v="Conforme"/>
    <m/>
    <m/>
    <m/>
    <m/>
    <m/>
    <s v=""/>
    <s v=""/>
    <s v="2026-02"/>
  </r>
  <r>
    <x v="160"/>
    <x v="4"/>
    <n v="6600"/>
    <s v="FINALIZADO"/>
    <s v="Conforme"/>
    <m/>
    <m/>
    <m/>
    <m/>
    <m/>
    <s v=""/>
    <s v=""/>
    <s v="2026-02"/>
  </r>
  <r>
    <x v="160"/>
    <x v="2"/>
    <n v="10000"/>
    <s v="FINALIZADO"/>
    <s v="Conforme"/>
    <m/>
    <m/>
    <m/>
    <m/>
    <m/>
    <s v=""/>
    <s v=""/>
    <s v="2026-02"/>
  </r>
  <r>
    <x v="161"/>
    <x v="4"/>
    <n v="1000"/>
    <s v="FINALIZADO"/>
    <s v="Conforme"/>
    <m/>
    <m/>
    <m/>
    <m/>
    <m/>
    <s v=""/>
    <s v=""/>
    <s v="2026-02"/>
  </r>
  <r>
    <x v="162"/>
    <x v="35"/>
    <n v="2500"/>
    <s v="FINALIZADO"/>
    <s v="Conforme"/>
    <m/>
    <m/>
    <m/>
    <m/>
    <m/>
    <s v=""/>
    <s v=""/>
    <s v="2026-02"/>
  </r>
  <r>
    <x v="162"/>
    <x v="24"/>
    <n v="6000"/>
    <s v="FINALIZADO"/>
    <s v="Conforme"/>
    <m/>
    <m/>
    <m/>
    <m/>
    <m/>
    <s v=""/>
    <s v=""/>
    <s v="2026-02"/>
  </r>
  <r>
    <x v="163"/>
    <x v="3"/>
    <n v="10400"/>
    <s v="FINALIZADO"/>
    <s v="Conforme"/>
    <m/>
    <m/>
    <m/>
    <m/>
    <m/>
    <s v=""/>
    <s v=""/>
    <s v="2026-03"/>
  </r>
  <r>
    <x v="163"/>
    <x v="2"/>
    <n v="8000"/>
    <s v="FINALIZADO"/>
    <s v="Conforme"/>
    <m/>
    <m/>
    <m/>
    <m/>
    <m/>
    <s v=""/>
    <s v=""/>
    <s v="2026-03"/>
  </r>
  <r>
    <x v="163"/>
    <x v="21"/>
    <n v="1050"/>
    <s v="FINALIZADO"/>
    <s v="Conforme"/>
    <m/>
    <m/>
    <m/>
    <m/>
    <m/>
    <s v=""/>
    <s v=""/>
    <s v="2026-03"/>
  </r>
  <r>
    <x v="163"/>
    <x v="21"/>
    <n v="1050"/>
    <s v="FINALIZADO"/>
    <s v="Conforme"/>
    <m/>
    <m/>
    <m/>
    <m/>
    <m/>
    <s v=""/>
    <s v=""/>
    <s v="2026-03"/>
  </r>
  <r>
    <x v="164"/>
    <x v="30"/>
    <n v="3000"/>
    <s v="FINALIZADO"/>
    <s v="Conforme"/>
    <m/>
    <m/>
    <m/>
    <m/>
    <m/>
    <s v=""/>
    <s v=""/>
    <s v="2026-03"/>
  </r>
  <r>
    <x v="164"/>
    <x v="45"/>
    <n v="1340"/>
    <s v="FINALIZADO"/>
    <s v="Conforme"/>
    <m/>
    <m/>
    <m/>
    <m/>
    <m/>
    <s v=""/>
    <s v=""/>
    <s v="2026-03"/>
  </r>
  <r>
    <x v="165"/>
    <x v="47"/>
    <n v="1100"/>
    <s v="FINALIZADO"/>
    <s v="Conforme"/>
    <m/>
    <m/>
    <m/>
    <m/>
    <m/>
    <s v=""/>
    <s v=""/>
    <s v="2026-03"/>
  </r>
  <r>
    <x v="165"/>
    <x v="22"/>
    <n v="1000"/>
    <s v="FINALIZADO"/>
    <s v="Conforme"/>
    <m/>
    <m/>
    <m/>
    <m/>
    <m/>
    <s v=""/>
    <s v=""/>
    <s v="2026-03"/>
  </r>
  <r>
    <x v="165"/>
    <x v="4"/>
    <n v="5000"/>
    <s v="FINALIZADO"/>
    <s v="Conforme"/>
    <m/>
    <m/>
    <m/>
    <m/>
    <m/>
    <s v=""/>
    <s v=""/>
    <s v="2026-03"/>
  </r>
  <r>
    <x v="165"/>
    <x v="19"/>
    <n v="8500"/>
    <s v="FINALIZADO"/>
    <s v="Conforme"/>
    <m/>
    <m/>
    <m/>
    <m/>
    <m/>
    <s v=""/>
    <s v=""/>
    <s v="2026-03"/>
  </r>
  <r>
    <x v="165"/>
    <x v="15"/>
    <n v="10000"/>
    <s v="FINALIZADO"/>
    <s v="Conforme"/>
    <m/>
    <m/>
    <m/>
    <m/>
    <m/>
    <s v=""/>
    <s v=""/>
    <s v="2026-03"/>
  </r>
  <r>
    <x v="166"/>
    <x v="10"/>
    <n v="3600"/>
    <s v="FINALIZADO"/>
    <s v="Conforme"/>
    <m/>
    <m/>
    <m/>
    <m/>
    <m/>
    <s v=""/>
    <s v=""/>
    <s v="2026-03"/>
  </r>
  <r>
    <x v="166"/>
    <x v="39"/>
    <n v="2200"/>
    <s v="FINALIZADO"/>
    <s v="Conforme"/>
    <m/>
    <m/>
    <m/>
    <m/>
    <m/>
    <s v=""/>
    <s v=""/>
    <s v="2026-03"/>
  </r>
  <r>
    <x v="166"/>
    <x v="21"/>
    <n v="1050"/>
    <s v="FINALIZADO"/>
    <s v="Conforme"/>
    <m/>
    <m/>
    <m/>
    <m/>
    <m/>
    <s v=""/>
    <s v=""/>
    <s v="2026-03"/>
  </r>
  <r>
    <x v="167"/>
    <x v="21"/>
    <n v="1050"/>
    <s v="FINALIZADO"/>
    <s v="Conforme"/>
    <m/>
    <m/>
    <m/>
    <m/>
    <m/>
    <s v=""/>
    <s v=""/>
    <s v="2026-03"/>
  </r>
  <r>
    <x v="167"/>
    <x v="10"/>
    <n v="3600"/>
    <s v="FINALIZADO"/>
    <s v="Conforme"/>
    <m/>
    <m/>
    <m/>
    <m/>
    <m/>
    <s v=""/>
    <s v=""/>
    <s v="2026-03"/>
  </r>
  <r>
    <x v="167"/>
    <x v="2"/>
    <n v="10000"/>
    <s v="FINALIZADO"/>
    <s v="Conforme"/>
    <m/>
    <m/>
    <m/>
    <m/>
    <m/>
    <s v=""/>
    <s v=""/>
    <s v="2026-03"/>
  </r>
  <r>
    <x v="167"/>
    <x v="48"/>
    <n v="1000"/>
    <s v="FINALIZADO"/>
    <s v="Conforme"/>
    <m/>
    <m/>
    <m/>
    <m/>
    <m/>
    <s v=""/>
    <s v=""/>
    <s v="2026-03"/>
  </r>
  <r>
    <x v="167"/>
    <x v="2"/>
    <n v="10000"/>
    <s v="FINALIZADO"/>
    <s v="Conforme"/>
    <m/>
    <m/>
    <m/>
    <m/>
    <m/>
    <s v=""/>
    <s v=""/>
    <s v="2026-03"/>
  </r>
  <r>
    <x v="167"/>
    <x v="0"/>
    <n v="6680"/>
    <s v="FINALIZADO"/>
    <s v="Conforme"/>
    <m/>
    <m/>
    <m/>
    <m/>
    <m/>
    <s v=""/>
    <s v=""/>
    <s v="2026-03"/>
  </r>
  <r>
    <x v="167"/>
    <x v="3"/>
    <n v="10400"/>
    <s v="FINALIZADO"/>
    <s v="Conforme"/>
    <m/>
    <m/>
    <m/>
    <m/>
    <m/>
    <s v=""/>
    <s v=""/>
    <s v="2026-03"/>
  </r>
  <r>
    <x v="168"/>
    <x v="9"/>
    <n v="1000"/>
    <s v="FINALIZADO"/>
    <s v="Conforme"/>
    <m/>
    <m/>
    <m/>
    <m/>
    <m/>
    <s v=""/>
    <s v=""/>
    <s v="2026-03"/>
  </r>
  <r>
    <x v="168"/>
    <x v="21"/>
    <n v="1050"/>
    <s v="FINALIZADO"/>
    <s v="Conforme"/>
    <m/>
    <m/>
    <m/>
    <m/>
    <m/>
    <s v=""/>
    <s v=""/>
    <s v="2026-03"/>
  </r>
  <r>
    <x v="168"/>
    <x v="24"/>
    <n v="6000"/>
    <s v="FINALIZADO"/>
    <s v="Conforme"/>
    <m/>
    <m/>
    <m/>
    <m/>
    <m/>
    <s v=""/>
    <s v=""/>
    <s v="2026-03"/>
  </r>
  <r>
    <x v="168"/>
    <x v="10"/>
    <n v="900"/>
    <s v="FINALIZADO"/>
    <s v="Conforme"/>
    <m/>
    <m/>
    <m/>
    <m/>
    <m/>
    <s v=""/>
    <s v=""/>
    <s v="2026-03"/>
  </r>
  <r>
    <x v="169"/>
    <x v="24"/>
    <n v="4500"/>
    <s v="FINALIZADO"/>
    <s v="Conforme"/>
    <m/>
    <m/>
    <m/>
    <m/>
    <m/>
    <s v=""/>
    <s v=""/>
    <s v="2026-03"/>
  </r>
  <r>
    <x v="169"/>
    <x v="10"/>
    <n v="900"/>
    <s v="FINALIZADO"/>
    <s v="Conforme"/>
    <m/>
    <m/>
    <m/>
    <m/>
    <m/>
    <s v=""/>
    <s v=""/>
    <s v="2026-03"/>
  </r>
  <r>
    <x v="169"/>
    <x v="49"/>
    <n v="18750"/>
    <s v="FINALIZADO"/>
    <s v="Conforme"/>
    <m/>
    <m/>
    <m/>
    <m/>
    <m/>
    <s v=""/>
    <s v=""/>
    <s v="2026-03"/>
  </r>
  <r>
    <x v="169"/>
    <x v="21"/>
    <n v="2100"/>
    <s v="FINALIZADO"/>
    <s v="Conforme"/>
    <m/>
    <m/>
    <m/>
    <m/>
    <m/>
    <s v=""/>
    <s v=""/>
    <s v="2026-03"/>
  </r>
  <r>
    <x v="169"/>
    <x v="15"/>
    <n v="7500"/>
    <s v="FINALIZADO"/>
    <s v="Conforme"/>
    <m/>
    <m/>
    <m/>
    <m/>
    <m/>
    <s v=""/>
    <s v=""/>
    <s v="2026-03"/>
  </r>
  <r>
    <x v="169"/>
    <x v="2"/>
    <n v="10000"/>
    <s v="FINALIZADO"/>
    <s v="Conforme"/>
    <m/>
    <m/>
    <m/>
    <m/>
    <m/>
    <s v=""/>
    <s v=""/>
    <s v="2026-03"/>
  </r>
  <r>
    <x v="169"/>
    <x v="0"/>
    <n v="12130"/>
    <s v="FINALIZADO"/>
    <s v="Conforme"/>
    <m/>
    <m/>
    <m/>
    <m/>
    <m/>
    <s v=""/>
    <s v=""/>
    <s v="2026-03"/>
  </r>
  <r>
    <x v="170"/>
    <x v="3"/>
    <n v="10400"/>
    <s v="FINALIZADO"/>
    <s v="Conforme"/>
    <m/>
    <m/>
    <m/>
    <m/>
    <m/>
    <s v=""/>
    <s v=""/>
    <s v="2026-03"/>
  </r>
  <r>
    <x v="170"/>
    <x v="1"/>
    <n v="1000"/>
    <s v="FINALIZADO"/>
    <s v="Conforme"/>
    <m/>
    <m/>
    <m/>
    <m/>
    <m/>
    <s v=""/>
    <s v=""/>
    <s v="2026-03"/>
  </r>
  <r>
    <x v="170"/>
    <x v="46"/>
    <n v="6250"/>
    <s v="FINALIZADO"/>
    <s v="Conforme"/>
    <m/>
    <m/>
    <m/>
    <m/>
    <m/>
    <s v=""/>
    <s v=""/>
    <s v="2026-03"/>
  </r>
  <r>
    <x v="171"/>
    <x v="0"/>
    <n v="16800"/>
    <s v="FINALIZADO"/>
    <s v="Conforme"/>
    <m/>
    <m/>
    <m/>
    <m/>
    <m/>
    <s v=""/>
    <s v=""/>
    <s v="2026-03"/>
  </r>
  <r>
    <x v="171"/>
    <x v="2"/>
    <n v="10000"/>
    <s v="FINALIZADO"/>
    <s v="Conforme"/>
    <m/>
    <m/>
    <m/>
    <m/>
    <m/>
    <s v=""/>
    <s v=""/>
    <s v="2026-03"/>
  </r>
  <r>
    <x v="172"/>
    <x v="4"/>
    <n v="10000"/>
    <s v="FINALIZADO"/>
    <s v="Conforme"/>
    <m/>
    <m/>
    <m/>
    <m/>
    <m/>
    <s v=""/>
    <s v=""/>
    <s v="2026-03"/>
  </r>
  <r>
    <x v="172"/>
    <x v="22"/>
    <n v="3000"/>
    <s v="FINALIZADO"/>
    <s v="Conforme"/>
    <m/>
    <m/>
    <m/>
    <m/>
    <m/>
    <s v=""/>
    <s v=""/>
    <s v="2026-03"/>
  </r>
  <r>
    <x v="172"/>
    <x v="30"/>
    <n v="3000"/>
    <s v="FINALIZADO"/>
    <s v="Conforme"/>
    <m/>
    <m/>
    <m/>
    <m/>
    <m/>
    <s v=""/>
    <s v=""/>
    <s v="2026-03"/>
  </r>
  <r>
    <x v="172"/>
    <x v="49"/>
    <n v="18750"/>
    <s v="FINALIZADO"/>
    <s v="Conforme"/>
    <m/>
    <m/>
    <m/>
    <m/>
    <m/>
    <s v=""/>
    <s v=""/>
    <s v="2026-03"/>
  </r>
  <r>
    <x v="172"/>
    <x v="17"/>
    <n v="400"/>
    <s v="FINALIZADO"/>
    <s v="Conforme"/>
    <m/>
    <m/>
    <m/>
    <m/>
    <m/>
    <s v=""/>
    <s v=""/>
    <s v="2026-03"/>
  </r>
  <r>
    <x v="173"/>
    <x v="2"/>
    <n v="7500"/>
    <s v="FINALIZADO"/>
    <s v="Conforme"/>
    <m/>
    <m/>
    <m/>
    <m/>
    <m/>
    <s v=""/>
    <s v=""/>
    <s v="2026-03"/>
  </r>
  <r>
    <x v="174"/>
    <x v="14"/>
    <n v="900"/>
    <s v="FINALIZADO"/>
    <s v="Conforme"/>
    <m/>
    <m/>
    <m/>
    <m/>
    <m/>
    <s v=""/>
    <s v=""/>
    <s v="2026-03"/>
  </r>
  <r>
    <x v="174"/>
    <x v="19"/>
    <n v="8500"/>
    <s v="FINALIZADO"/>
    <s v="Conforme"/>
    <m/>
    <m/>
    <m/>
    <m/>
    <m/>
    <s v=""/>
    <s v=""/>
    <s v="2026-03"/>
  </r>
  <r>
    <x v="174"/>
    <x v="0"/>
    <n v="9535"/>
    <s v="FINALIZADO"/>
    <s v="Conforme"/>
    <m/>
    <m/>
    <m/>
    <m/>
    <m/>
    <s v=""/>
    <s v=""/>
    <s v="2026-03"/>
  </r>
  <r>
    <x v="174"/>
    <x v="7"/>
    <n v="1050"/>
    <s v="FINALIZADO"/>
    <s v="Conforme"/>
    <m/>
    <m/>
    <m/>
    <m/>
    <m/>
    <s v=""/>
    <s v=""/>
    <s v="2026-03"/>
  </r>
  <r>
    <x v="175"/>
    <x v="9"/>
    <n v="400"/>
    <s v="FINALIZADO"/>
    <s v="Conforme"/>
    <m/>
    <m/>
    <m/>
    <m/>
    <m/>
    <s v=""/>
    <s v=""/>
    <s v="2026-03"/>
  </r>
  <r>
    <x v="175"/>
    <x v="4"/>
    <n v="1000"/>
    <s v="FINALIZADO"/>
    <s v="Conforme"/>
    <m/>
    <m/>
    <m/>
    <m/>
    <m/>
    <s v=""/>
    <s v=""/>
    <s v="2026-03"/>
  </r>
  <r>
    <x v="175"/>
    <x v="10"/>
    <n v="900"/>
    <s v="FINALIZADO"/>
    <s v="Conforme"/>
    <m/>
    <m/>
    <m/>
    <m/>
    <m/>
    <s v=""/>
    <s v=""/>
    <s v="2026-03"/>
  </r>
  <r>
    <x v="175"/>
    <x v="3"/>
    <n v="10400"/>
    <s v="FINALIZADO"/>
    <s v="Conforme"/>
    <m/>
    <m/>
    <m/>
    <m/>
    <m/>
    <s v=""/>
    <s v=""/>
    <s v="2026-03"/>
  </r>
  <r>
    <x v="175"/>
    <x v="10"/>
    <n v="2700"/>
    <s v="FINALIZADO"/>
    <s v="Conforme"/>
    <m/>
    <m/>
    <m/>
    <m/>
    <m/>
    <s v=""/>
    <s v=""/>
    <s v="2026-03"/>
  </r>
  <r>
    <x v="175"/>
    <x v="21"/>
    <n v="3150"/>
    <s v="FINALIZADO"/>
    <s v="Conforme"/>
    <m/>
    <m/>
    <m/>
    <m/>
    <m/>
    <s v=""/>
    <s v=""/>
    <s v="2026-03"/>
  </r>
  <r>
    <x v="175"/>
    <x v="47"/>
    <n v="1100"/>
    <s v="FINALIZADO"/>
    <s v="Conforme"/>
    <m/>
    <m/>
    <m/>
    <m/>
    <m/>
    <s v=""/>
    <s v=""/>
    <s v="2026-03"/>
  </r>
  <r>
    <x v="176"/>
    <x v="0"/>
    <n v="16170"/>
    <s v="FINALIZADO"/>
    <s v="Conforme"/>
    <m/>
    <m/>
    <m/>
    <m/>
    <m/>
    <s v=""/>
    <s v=""/>
    <s v="2026-03"/>
  </r>
  <r>
    <x v="176"/>
    <x v="5"/>
    <n v="650"/>
    <s v="FINALIZADO"/>
    <s v="Conforme"/>
    <m/>
    <m/>
    <m/>
    <m/>
    <m/>
    <s v=""/>
    <s v=""/>
    <s v="2026-03"/>
  </r>
  <r>
    <x v="176"/>
    <x v="4"/>
    <n v="1100"/>
    <s v="FINALIZADO"/>
    <s v="Conforme"/>
    <m/>
    <m/>
    <m/>
    <m/>
    <m/>
    <s v=""/>
    <s v=""/>
    <s v="2026-03"/>
  </r>
  <r>
    <x v="176"/>
    <x v="45"/>
    <n v="1350"/>
    <s v="FINALIZADO"/>
    <s v="Conforme"/>
    <m/>
    <m/>
    <m/>
    <m/>
    <m/>
    <s v=""/>
    <s v=""/>
    <s v="2026-03"/>
  </r>
  <r>
    <x v="176"/>
    <x v="1"/>
    <n v="2000"/>
    <s v="FINALIZADO"/>
    <s v="Conforme"/>
    <m/>
    <m/>
    <m/>
    <m/>
    <m/>
    <s v=""/>
    <s v=""/>
    <s v="2026-03"/>
  </r>
  <r>
    <x v="177"/>
    <x v="2"/>
    <n v="10000"/>
    <s v="FINALIZADO"/>
    <s v="Conforme"/>
    <m/>
    <m/>
    <m/>
    <m/>
    <m/>
    <s v=""/>
    <s v=""/>
    <s v="2026-03"/>
  </r>
  <r>
    <x v="177"/>
    <x v="9"/>
    <n v="400"/>
    <s v="FINALIZADO"/>
    <s v="Conforme"/>
    <m/>
    <m/>
    <m/>
    <m/>
    <m/>
    <s v=""/>
    <s v=""/>
    <s v="2026-03"/>
  </r>
  <r>
    <x v="177"/>
    <x v="21"/>
    <n v="3150"/>
    <s v="FINALIZADO"/>
    <s v="Conforme"/>
    <m/>
    <m/>
    <m/>
    <m/>
    <m/>
    <s v=""/>
    <s v=""/>
    <s v="2026-03"/>
  </r>
  <r>
    <x v="177"/>
    <x v="39"/>
    <n v="1100"/>
    <s v="FINALIZADO"/>
    <s v="Conforme"/>
    <m/>
    <m/>
    <m/>
    <m/>
    <m/>
    <s v=""/>
    <s v=""/>
    <s v="2026-03"/>
  </r>
  <r>
    <x v="177"/>
    <x v="3"/>
    <n v="10400"/>
    <s v="FINALIZADO"/>
    <s v="Conforme"/>
    <m/>
    <m/>
    <m/>
    <m/>
    <m/>
    <s v=""/>
    <s v=""/>
    <s v="2026-03"/>
  </r>
  <r>
    <x v="177"/>
    <x v="10"/>
    <n v="900"/>
    <s v="FINALIZADO"/>
    <s v="Conforme"/>
    <m/>
    <m/>
    <m/>
    <m/>
    <m/>
    <s v=""/>
    <s v=""/>
    <s v="2026-03"/>
  </r>
  <r>
    <x v="178"/>
    <x v="40"/>
    <n v="2000"/>
    <s v="FINALIZADO"/>
    <s v="Conforme"/>
    <m/>
    <m/>
    <m/>
    <m/>
    <m/>
    <s v=""/>
    <s v=""/>
    <s v="2026-03"/>
  </r>
  <r>
    <x v="178"/>
    <x v="15"/>
    <n v="5000"/>
    <s v="FINALIZADO"/>
    <s v="Conforme"/>
    <m/>
    <m/>
    <m/>
    <m/>
    <m/>
    <s v=""/>
    <s v=""/>
    <s v="2026-03"/>
  </r>
  <r>
    <x v="178"/>
    <x v="3"/>
    <n v="10400"/>
    <s v="FINALIZADO"/>
    <s v="Conforme"/>
    <m/>
    <m/>
    <m/>
    <m/>
    <m/>
    <s v=""/>
    <s v=""/>
    <s v="2026-03"/>
  </r>
  <r>
    <x v="178"/>
    <x v="2"/>
    <n v="10070"/>
    <s v="FINALIZADO"/>
    <s v="Conforme"/>
    <m/>
    <m/>
    <m/>
    <m/>
    <m/>
    <s v=""/>
    <s v=""/>
    <s v="2026-03"/>
  </r>
  <r>
    <x v="179"/>
    <x v="10"/>
    <n v="900"/>
    <s v="FINALIZADO"/>
    <s v="Conforme"/>
    <m/>
    <m/>
    <m/>
    <m/>
    <m/>
    <s v=""/>
    <s v=""/>
    <s v="2026-03"/>
  </r>
  <r>
    <x v="179"/>
    <x v="38"/>
    <n v="650"/>
    <s v="FINALIZADO"/>
    <s v="Conforme"/>
    <m/>
    <m/>
    <m/>
    <m/>
    <m/>
    <s v=""/>
    <s v=""/>
    <s v="2026-03"/>
  </r>
  <r>
    <x v="179"/>
    <x v="4"/>
    <n v="9900"/>
    <s v="FINALIZADO"/>
    <s v="Conforme"/>
    <m/>
    <m/>
    <m/>
    <m/>
    <m/>
    <s v=""/>
    <s v=""/>
    <s v="2026-03"/>
  </r>
  <r>
    <x v="179"/>
    <x v="22"/>
    <n v="2000"/>
    <s v="FINALIZADO"/>
    <s v="Conforme"/>
    <m/>
    <m/>
    <m/>
    <m/>
    <m/>
    <s v=""/>
    <s v=""/>
    <s v="2026-03"/>
  </r>
  <r>
    <x v="179"/>
    <x v="33"/>
    <n v="1000"/>
    <s v="FINALIZADO"/>
    <s v="Conforme"/>
    <m/>
    <m/>
    <m/>
    <m/>
    <m/>
    <s v=""/>
    <s v=""/>
    <s v="2026-03"/>
  </r>
  <r>
    <x v="180"/>
    <x v="5"/>
    <n v="1000"/>
    <s v="FINALIZADO"/>
    <s v="Conforme"/>
    <m/>
    <m/>
    <m/>
    <m/>
    <m/>
    <s v=""/>
    <s v=""/>
    <s v="2026-03"/>
  </r>
  <r>
    <x v="180"/>
    <x v="35"/>
    <n v="1250"/>
    <s v="FINALIZADO"/>
    <s v="Conforme"/>
    <m/>
    <m/>
    <m/>
    <m/>
    <m/>
    <s v=""/>
    <s v=""/>
    <s v="2026-03"/>
  </r>
  <r>
    <x v="180"/>
    <x v="19"/>
    <n v="8500"/>
    <s v="FINALIZADO"/>
    <s v="Conforme"/>
    <m/>
    <m/>
    <m/>
    <m/>
    <m/>
    <s v=""/>
    <s v=""/>
    <s v="2026-03"/>
  </r>
  <r>
    <x v="180"/>
    <x v="0"/>
    <n v="10000"/>
    <s v="FINALIZADO"/>
    <s v="Conforme"/>
    <m/>
    <m/>
    <m/>
    <m/>
    <m/>
    <s v=""/>
    <s v=""/>
    <s v="2026-03"/>
  </r>
  <r>
    <x v="180"/>
    <x v="10"/>
    <n v="1800"/>
    <s v="FINALIZADO"/>
    <s v="Conforme"/>
    <m/>
    <m/>
    <m/>
    <m/>
    <m/>
    <s v=""/>
    <s v=""/>
    <s v="2026-03"/>
  </r>
  <r>
    <x v="181"/>
    <x v="0"/>
    <n v="10000"/>
    <s v="FINALIZADO"/>
    <s v="Conforme"/>
    <m/>
    <m/>
    <m/>
    <m/>
    <m/>
    <s v=""/>
    <s v=""/>
    <s v="2026-03"/>
  </r>
  <r>
    <x v="181"/>
    <x v="35"/>
    <n v="2500"/>
    <s v="FINALIZADO"/>
    <s v="Conforme"/>
    <m/>
    <m/>
    <m/>
    <m/>
    <m/>
    <s v=""/>
    <s v=""/>
    <s v="2026-03"/>
  </r>
  <r>
    <x v="181"/>
    <x v="3"/>
    <n v="10400"/>
    <s v="FINALIZADO"/>
    <s v="Conforme"/>
    <m/>
    <m/>
    <m/>
    <m/>
    <m/>
    <s v=""/>
    <s v=""/>
    <s v="2026-03"/>
  </r>
  <r>
    <x v="181"/>
    <x v="47"/>
    <n v="1100"/>
    <s v="FINALIZADO"/>
    <s v="Conforme"/>
    <m/>
    <m/>
    <m/>
    <m/>
    <m/>
    <s v=""/>
    <s v=""/>
    <s v="2026-03"/>
  </r>
  <r>
    <x v="181"/>
    <x v="24"/>
    <n v="4500"/>
    <s v="FINALIZADO"/>
    <s v="Conforme"/>
    <m/>
    <m/>
    <m/>
    <m/>
    <m/>
    <s v=""/>
    <s v=""/>
    <s v="2026-03"/>
  </r>
  <r>
    <x v="181"/>
    <x v="2"/>
    <n v="18775"/>
    <s v="FINALIZADO"/>
    <s v="Conforme"/>
    <m/>
    <m/>
    <m/>
    <m/>
    <m/>
    <s v=""/>
    <s v=""/>
    <s v="2026-03"/>
  </r>
  <r>
    <x v="182"/>
    <x v="15"/>
    <n v="10000"/>
    <s v="FINALIZADO"/>
    <s v="Conforme"/>
    <m/>
    <m/>
    <m/>
    <m/>
    <m/>
    <s v=""/>
    <s v=""/>
    <s v="2026-03"/>
  </r>
  <r>
    <x v="182"/>
    <x v="2"/>
    <n v="6000"/>
    <s v="FINALIZADO"/>
    <s v="Conforme"/>
    <m/>
    <m/>
    <m/>
    <m/>
    <m/>
    <s v=""/>
    <s v=""/>
    <s v="2026-03"/>
  </r>
  <r>
    <x v="182"/>
    <x v="10"/>
    <n v="900"/>
    <s v="FINALIZADO"/>
    <s v="Conforme"/>
    <m/>
    <m/>
    <m/>
    <m/>
    <m/>
    <s v=""/>
    <s v=""/>
    <s v="2026-03"/>
  </r>
  <r>
    <x v="182"/>
    <x v="30"/>
    <n v="4000"/>
    <s v="FINALIZADO"/>
    <s v="Conforme"/>
    <m/>
    <m/>
    <m/>
    <m/>
    <m/>
    <s v=""/>
    <s v=""/>
    <s v="2026-03"/>
  </r>
  <r>
    <x v="183"/>
    <x v="46"/>
    <n v="3750"/>
    <s v="FINALIZADO"/>
    <s v="Conforme"/>
    <m/>
    <m/>
    <m/>
    <m/>
    <m/>
    <s v=""/>
    <s v=""/>
    <s v="2026-03"/>
  </r>
  <r>
    <x v="184"/>
    <x v="17"/>
    <n v="6000"/>
    <s v="FINALIZADO"/>
    <s v="Conforme"/>
    <m/>
    <m/>
    <m/>
    <m/>
    <m/>
    <s v=""/>
    <s v=""/>
    <s v="2026-03"/>
  </r>
  <r>
    <x v="185"/>
    <x v="3"/>
    <n v="10400"/>
    <s v="FINALIZADO"/>
    <s v="Conforme"/>
    <m/>
    <m/>
    <m/>
    <m/>
    <m/>
    <s v=""/>
    <s v=""/>
    <s v="2026-03"/>
  </r>
  <r>
    <x v="186"/>
    <x v="37"/>
    <n v="5795"/>
    <s v="FINALIZADO"/>
    <s v="Conforme"/>
    <m/>
    <m/>
    <m/>
    <m/>
    <m/>
    <s v=""/>
    <s v=""/>
    <s v="2026-03"/>
  </r>
  <r>
    <x v="187"/>
    <x v="0"/>
    <n v="10000"/>
    <s v="FINALIZADO"/>
    <s v="Conforme"/>
    <m/>
    <m/>
    <m/>
    <m/>
    <m/>
    <s v=""/>
    <s v=""/>
    <s v="2026-04"/>
  </r>
  <r>
    <x v="187"/>
    <x v="46"/>
    <n v="3750"/>
    <s v="FINALIZADO"/>
    <s v="Conforme"/>
    <m/>
    <d v="2026-06-22T12:07:46"/>
    <m/>
    <m/>
    <m/>
    <s v=""/>
    <s v=""/>
    <s v="2026-04"/>
  </r>
  <r>
    <x v="187"/>
    <x v="2"/>
    <n v="10000"/>
    <s v="FINALIZADO"/>
    <s v="Conforme"/>
    <m/>
    <m/>
    <m/>
    <m/>
    <m/>
    <s v=""/>
    <s v=""/>
    <s v="2026-04"/>
  </r>
  <r>
    <x v="187"/>
    <x v="9"/>
    <n v="2400"/>
    <s v="FINALIZADO"/>
    <s v="Conforme"/>
    <m/>
    <m/>
    <m/>
    <m/>
    <m/>
    <s v=""/>
    <s v=""/>
    <s v="2026-04"/>
  </r>
  <r>
    <x v="187"/>
    <x v="3"/>
    <n v="10400"/>
    <s v="FINALIZADO"/>
    <s v="Conforme"/>
    <m/>
    <m/>
    <m/>
    <m/>
    <m/>
    <s v=""/>
    <s v=""/>
    <s v="2026-04"/>
  </r>
  <r>
    <x v="187"/>
    <x v="46"/>
    <n v="3750"/>
    <s v="FINALIZADO"/>
    <s v="Conforme"/>
    <m/>
    <m/>
    <m/>
    <m/>
    <m/>
    <s v=""/>
    <s v=""/>
    <s v="2026-04"/>
  </r>
  <r>
    <x v="188"/>
    <x v="28"/>
    <n v="220"/>
    <s v="FINALIZADO"/>
    <s v="Conforme"/>
    <m/>
    <d v="2026-06-22T11:45:52"/>
    <m/>
    <m/>
    <m/>
    <s v=""/>
    <s v=""/>
    <s v="2026-04"/>
  </r>
  <r>
    <x v="189"/>
    <x v="15"/>
    <n v="5000"/>
    <s v="FINALIZADO"/>
    <s v="Conforme"/>
    <m/>
    <d v="2026-06-22T12:24:47"/>
    <m/>
    <m/>
    <m/>
    <s v=""/>
    <s v=""/>
    <s v="2026-04"/>
  </r>
  <r>
    <x v="189"/>
    <x v="3"/>
    <n v="10400"/>
    <s v="FINALIZADO"/>
    <s v="Conforme"/>
    <m/>
    <d v="2026-06-22T12:30:05"/>
    <m/>
    <m/>
    <m/>
    <s v=""/>
    <s v=""/>
    <s v="2026-04"/>
  </r>
  <r>
    <x v="189"/>
    <x v="2"/>
    <n v="9700"/>
    <s v="FINALIZADO"/>
    <s v="Conforme"/>
    <m/>
    <d v="2026-06-22T13:10:11"/>
    <m/>
    <m/>
    <m/>
    <s v=""/>
    <s v=""/>
    <s v="2026-04"/>
  </r>
  <r>
    <x v="190"/>
    <x v="4"/>
    <n v="5500"/>
    <s v="FINALIZADO"/>
    <s v="Conforme"/>
    <m/>
    <d v="2026-06-22T12:27:38"/>
    <m/>
    <m/>
    <m/>
    <s v=""/>
    <s v=""/>
    <s v="2026-04"/>
  </r>
  <r>
    <x v="191"/>
    <x v="4"/>
    <n v="5500"/>
    <s v="FINALIZADO"/>
    <s v="Conforme"/>
    <m/>
    <d v="2026-06-22T12:27:17"/>
    <m/>
    <m/>
    <m/>
    <s v=""/>
    <s v=""/>
    <s v="2026-04"/>
  </r>
  <r>
    <x v="191"/>
    <x v="2"/>
    <n v="10000"/>
    <s v="FINALIZADO"/>
    <s v="Conforme"/>
    <m/>
    <d v="2026-06-22T13:09:48"/>
    <m/>
    <m/>
    <m/>
    <s v=""/>
    <s v=""/>
    <s v="2026-04"/>
  </r>
  <r>
    <x v="192"/>
    <x v="22"/>
    <n v="1100"/>
    <s v="FINALIZADO"/>
    <s v="Conforme"/>
    <m/>
    <d v="2026-06-22T11:56:52"/>
    <m/>
    <m/>
    <m/>
    <s v=""/>
    <s v=""/>
    <s v="2026-04"/>
  </r>
  <r>
    <x v="192"/>
    <x v="1"/>
    <n v="1000"/>
    <s v="FINALIZADO"/>
    <s v="Conforme"/>
    <m/>
    <d v="2026-06-22T11:54:09"/>
    <m/>
    <m/>
    <m/>
    <s v=""/>
    <s v=""/>
    <s v="2026-04"/>
  </r>
  <r>
    <x v="192"/>
    <x v="0"/>
    <n v="10000"/>
    <s v="FINALIZADO"/>
    <s v="Conforme"/>
    <m/>
    <d v="2026-06-22T12:34:10"/>
    <m/>
    <m/>
    <m/>
    <s v=""/>
    <s v=""/>
    <s v="2026-04"/>
  </r>
  <r>
    <x v="192"/>
    <x v="0"/>
    <n v="10000"/>
    <s v="FINALIZADO"/>
    <s v="Conforme"/>
    <m/>
    <d v="2026-06-22T12:34:26"/>
    <m/>
    <m/>
    <m/>
    <s v=""/>
    <s v=""/>
    <s v="2026-04"/>
  </r>
  <r>
    <x v="192"/>
    <x v="2"/>
    <n v="10000"/>
    <s v="FINALIZADO"/>
    <s v="Conforme"/>
    <m/>
    <d v="2026-06-22T13:09:32"/>
    <m/>
    <m/>
    <m/>
    <s v=""/>
    <s v=""/>
    <s v="2026-04"/>
  </r>
  <r>
    <x v="192"/>
    <x v="10"/>
    <n v="1800"/>
    <s v="FINALIZADO"/>
    <s v="Conforme"/>
    <m/>
    <d v="2026-06-22T12:20:58"/>
    <m/>
    <m/>
    <m/>
    <s v=""/>
    <s v=""/>
    <s v="2026-04"/>
  </r>
  <r>
    <x v="193"/>
    <x v="3"/>
    <n v="10700"/>
    <s v="FINALIZADO"/>
    <s v="Conforme"/>
    <m/>
    <d v="2026-06-22T12:29:50"/>
    <m/>
    <m/>
    <m/>
    <s v=""/>
    <s v=""/>
    <s v="2026-04"/>
  </r>
  <r>
    <x v="193"/>
    <x v="2"/>
    <n v="10000"/>
    <s v="FINALIZADO"/>
    <s v="Conforme"/>
    <m/>
    <d v="2026-06-22T13:09:03"/>
    <m/>
    <m/>
    <m/>
    <s v=""/>
    <s v=""/>
    <s v="2026-04"/>
  </r>
  <r>
    <x v="193"/>
    <x v="2"/>
    <n v="8500"/>
    <s v="FINALIZADO"/>
    <s v="Conforme"/>
    <m/>
    <d v="2026-06-22T13:09:17"/>
    <m/>
    <m/>
    <m/>
    <s v=""/>
    <s v=""/>
    <s v="2026-04"/>
  </r>
  <r>
    <x v="194"/>
    <x v="30"/>
    <n v="3500"/>
    <s v="FINALIZADO"/>
    <s v="Conforme"/>
    <m/>
    <d v="2026-06-22T12:10:49"/>
    <m/>
    <m/>
    <m/>
    <s v=""/>
    <s v=""/>
    <s v="2026-04"/>
  </r>
  <r>
    <x v="194"/>
    <x v="7"/>
    <n v="1050"/>
    <s v="FINALIZADO"/>
    <s v="Conforme"/>
    <m/>
    <d v="2026-06-22T12:13:29"/>
    <m/>
    <m/>
    <m/>
    <s v=""/>
    <s v=""/>
    <s v="2026-04"/>
  </r>
  <r>
    <x v="194"/>
    <x v="0"/>
    <n v="8750"/>
    <s v="FINALIZADO"/>
    <s v="Conforme"/>
    <m/>
    <d v="2026-06-22T12:33:55"/>
    <m/>
    <m/>
    <m/>
    <s v=""/>
    <s v=""/>
    <s v="2026-04"/>
  </r>
  <r>
    <x v="194"/>
    <x v="10"/>
    <n v="1800"/>
    <s v="FINALIZADO"/>
    <s v="Conforme"/>
    <m/>
    <d v="2026-06-22T12:20:46"/>
    <m/>
    <m/>
    <m/>
    <s v=""/>
    <s v=""/>
    <s v="2026-04"/>
  </r>
  <r>
    <x v="194"/>
    <x v="19"/>
    <n v="8500"/>
    <s v="FINALIZADO"/>
    <s v="Conforme"/>
    <m/>
    <d v="2026-06-22T12:22:04"/>
    <m/>
    <m/>
    <m/>
    <s v=""/>
    <s v=""/>
    <s v="2026-04"/>
  </r>
  <r>
    <x v="195"/>
    <x v="9"/>
    <n v="1000"/>
    <s v="FINALIZADO"/>
    <s v="Conforme"/>
    <m/>
    <d v="2026-06-22T11:52:54"/>
    <m/>
    <m/>
    <m/>
    <s v=""/>
    <s v=""/>
    <s v="2026-04"/>
  </r>
  <r>
    <x v="195"/>
    <x v="12"/>
    <n v="1000"/>
    <s v="FINALIZADO"/>
    <s v="Conforme"/>
    <m/>
    <d v="2026-06-22T11:48:42"/>
    <m/>
    <m/>
    <m/>
    <s v=""/>
    <s v=""/>
    <s v="2026-04"/>
  </r>
  <r>
    <x v="195"/>
    <x v="4"/>
    <n v="50000"/>
    <s v="FINALIZADO"/>
    <s v="Conforme"/>
    <m/>
    <d v="2026-06-22T12:27:02"/>
    <m/>
    <m/>
    <m/>
    <s v=""/>
    <s v=""/>
    <s v="2026-04"/>
  </r>
  <r>
    <x v="195"/>
    <x v="21"/>
    <n v="3200"/>
    <s v="FINALIZADO"/>
    <s v="Conforme"/>
    <m/>
    <d v="2026-06-22T12:17:16"/>
    <m/>
    <m/>
    <m/>
    <s v=""/>
    <s v=""/>
    <s v="2026-04"/>
  </r>
  <r>
    <x v="196"/>
    <x v="2"/>
    <n v="10000"/>
    <s v="FINALIZADO"/>
    <s v="Conforme"/>
    <m/>
    <d v="2026-06-22T13:08:38"/>
    <m/>
    <m/>
    <m/>
    <s v=""/>
    <s v=""/>
    <s v="2026-04"/>
  </r>
  <r>
    <x v="196"/>
    <x v="15"/>
    <n v="10000"/>
    <s v="FINALIZADO"/>
    <s v="Conforme"/>
    <m/>
    <d v="2026-06-22T12:24:12"/>
    <m/>
    <m/>
    <m/>
    <s v=""/>
    <s v=""/>
    <s v="2026-04"/>
  </r>
  <r>
    <x v="196"/>
    <x v="10"/>
    <n v="3600"/>
    <s v="FINALIZADO"/>
    <s v="Conforme"/>
    <m/>
    <d v="2026-06-22T12:20:15"/>
    <m/>
    <m/>
    <m/>
    <s v=""/>
    <s v=""/>
    <s v="2026-04"/>
  </r>
  <r>
    <x v="197"/>
    <x v="39"/>
    <n v="1100"/>
    <s v="FINALIZADO"/>
    <s v="Conforme"/>
    <m/>
    <d v="2026-06-22T11:50:18"/>
    <m/>
    <m/>
    <m/>
    <s v=""/>
    <s v=""/>
    <s v="2026-04"/>
  </r>
  <r>
    <x v="197"/>
    <x v="4"/>
    <n v="5000"/>
    <s v="FINALIZADO"/>
    <s v="Conforme"/>
    <m/>
    <d v="2026-06-22T12:26:40"/>
    <m/>
    <m/>
    <m/>
    <s v=""/>
    <s v=""/>
    <s v="2026-04"/>
  </r>
  <r>
    <x v="197"/>
    <x v="15"/>
    <n v="10000"/>
    <s v="FINALIZADO"/>
    <s v="Conforme"/>
    <m/>
    <d v="2026-06-22T12:23:49"/>
    <m/>
    <m/>
    <m/>
    <s v=""/>
    <s v=""/>
    <s v="2026-04"/>
  </r>
  <r>
    <x v="198"/>
    <x v="3"/>
    <n v="10400"/>
    <s v="FINALIZADO"/>
    <s v="Conforme"/>
    <m/>
    <d v="2026-06-22T12:29:33"/>
    <m/>
    <m/>
    <m/>
    <s v=""/>
    <s v=""/>
    <s v="2026-04"/>
  </r>
  <r>
    <x v="198"/>
    <x v="2"/>
    <n v="10000"/>
    <s v="FINALIZADO"/>
    <s v="Conforme"/>
    <m/>
    <d v="2026-06-22T13:08:25"/>
    <m/>
    <m/>
    <m/>
    <s v=""/>
    <s v=""/>
    <s v="2026-04"/>
  </r>
  <r>
    <x v="198"/>
    <x v="15"/>
    <n v="10000"/>
    <s v="FINALIZADO"/>
    <s v="Conforme"/>
    <m/>
    <d v="2026-06-22T12:23:19"/>
    <m/>
    <m/>
    <m/>
    <s v=""/>
    <s v=""/>
    <s v="2026-04"/>
  </r>
  <r>
    <x v="199"/>
    <x v="39"/>
    <n v="1100"/>
    <s v="FINALIZADO"/>
    <s v="Conforme"/>
    <m/>
    <d v="2026-06-22T11:51:14"/>
    <m/>
    <m/>
    <m/>
    <s v=""/>
    <s v=""/>
    <s v="2026-04"/>
  </r>
  <r>
    <x v="199"/>
    <x v="0"/>
    <n v="10000"/>
    <s v="FINALIZADO"/>
    <s v="Conforme"/>
    <m/>
    <d v="2026-06-22T12:33:22"/>
    <m/>
    <m/>
    <m/>
    <s v=""/>
    <s v=""/>
    <s v="2026-04"/>
  </r>
  <r>
    <x v="200"/>
    <x v="1"/>
    <n v="1000"/>
    <s v="FINALIZADO"/>
    <s v="Conforme"/>
    <m/>
    <d v="2026-06-22T11:54:43"/>
    <m/>
    <m/>
    <m/>
    <s v=""/>
    <s v=""/>
    <s v="2026-04"/>
  </r>
  <r>
    <x v="200"/>
    <x v="30"/>
    <n v="2000"/>
    <s v="FINALIZADO"/>
    <s v="Conforme"/>
    <m/>
    <d v="2026-06-22T12:11:21"/>
    <m/>
    <m/>
    <m/>
    <s v=""/>
    <s v=""/>
    <s v="2026-04"/>
  </r>
  <r>
    <x v="200"/>
    <x v="21"/>
    <n v="2100"/>
    <s v="FINALIZADO"/>
    <s v="Conforme"/>
    <m/>
    <d v="2026-06-22T12:16:43"/>
    <m/>
    <m/>
    <m/>
    <s v=""/>
    <s v=""/>
    <s v="2026-04"/>
  </r>
  <r>
    <x v="200"/>
    <x v="4"/>
    <n v="5000"/>
    <s v="FINALIZADO"/>
    <s v="Conforme"/>
    <m/>
    <d v="2026-06-22T12:26:12"/>
    <m/>
    <m/>
    <m/>
    <s v=""/>
    <s v=""/>
    <s v="2026-04"/>
  </r>
  <r>
    <x v="200"/>
    <x v="19"/>
    <n v="8500"/>
    <s v="FINALIZADO"/>
    <s v="Conforme"/>
    <m/>
    <d v="2026-06-22T12:21:44"/>
    <m/>
    <m/>
    <m/>
    <s v=""/>
    <s v=""/>
    <s v="2026-04"/>
  </r>
  <r>
    <x v="200"/>
    <x v="17"/>
    <n v="2000"/>
    <s v="FINALIZADO"/>
    <s v="Conforme"/>
    <m/>
    <d v="2026-06-22T12:09:40"/>
    <m/>
    <m/>
    <m/>
    <s v=""/>
    <s v=""/>
    <s v="2026-04"/>
  </r>
  <r>
    <x v="201"/>
    <x v="3"/>
    <n v="10400"/>
    <s v="FINALIZADO"/>
    <s v="Conforme"/>
    <m/>
    <d v="2026-06-22T12:29:19"/>
    <m/>
    <m/>
    <m/>
    <s v=""/>
    <s v=""/>
    <s v="2026-04"/>
  </r>
  <r>
    <x v="201"/>
    <x v="0"/>
    <n v="10000"/>
    <s v="FINALIZADO"/>
    <s v="Conforme"/>
    <m/>
    <d v="2026-06-22T12:32:22"/>
    <m/>
    <m/>
    <m/>
    <s v=""/>
    <s v=""/>
    <s v="2026-04"/>
  </r>
  <r>
    <x v="202"/>
    <x v="21"/>
    <n v="5250"/>
    <s v="FINALIZADO"/>
    <s v="Conforme"/>
    <m/>
    <d v="2026-06-22T12:16:20"/>
    <m/>
    <m/>
    <m/>
    <s v=""/>
    <s v=""/>
    <s v="2026-04"/>
  </r>
  <r>
    <x v="202"/>
    <x v="0"/>
    <n v="10000"/>
    <s v="FINALIZADO"/>
    <s v="Conforme"/>
    <m/>
    <d v="2026-06-22T12:32:05"/>
    <m/>
    <m/>
    <m/>
    <s v=""/>
    <s v=""/>
    <s v="2026-04"/>
  </r>
  <r>
    <x v="202"/>
    <x v="2"/>
    <n v="10000"/>
    <s v="FINALIZADO"/>
    <s v="Conforme"/>
    <m/>
    <d v="2026-06-22T13:08:02"/>
    <m/>
    <m/>
    <m/>
    <s v=""/>
    <s v=""/>
    <s v="2026-04"/>
  </r>
  <r>
    <x v="203"/>
    <x v="30"/>
    <n v="3000"/>
    <s v="FINALIZADO"/>
    <s v="Conforme"/>
    <m/>
    <d v="2026-06-22T12:11:48"/>
    <m/>
    <m/>
    <m/>
    <s v=""/>
    <s v=""/>
    <s v="2026-04"/>
  </r>
  <r>
    <x v="203"/>
    <x v="4"/>
    <n v="11000"/>
    <s v="FINALIZADO"/>
    <s v="Conforme"/>
    <m/>
    <d v="2026-06-22T12:25:51"/>
    <m/>
    <m/>
    <m/>
    <s v=""/>
    <s v=""/>
    <s v="2026-04"/>
  </r>
  <r>
    <x v="203"/>
    <x v="2"/>
    <n v="10000"/>
    <s v="FINALIZADO"/>
    <s v="Conforme"/>
    <m/>
    <d v="2026-06-22T13:07:46"/>
    <m/>
    <m/>
    <m/>
    <s v=""/>
    <s v=""/>
    <s v="2026-04"/>
  </r>
  <r>
    <x v="204"/>
    <x v="1"/>
    <n v="2000"/>
    <s v="FINALIZADO"/>
    <s v="Conforme"/>
    <m/>
    <d v="2026-06-22T11:55:12"/>
    <m/>
    <m/>
    <m/>
    <s v=""/>
    <s v=""/>
    <s v="2026-04"/>
  </r>
  <r>
    <x v="204"/>
    <x v="30"/>
    <n v="1600"/>
    <s v="FINALIZADO"/>
    <s v="Conforme"/>
    <m/>
    <d v="2026-06-22T12:12:07"/>
    <m/>
    <m/>
    <m/>
    <s v=""/>
    <s v=""/>
    <s v="2026-04"/>
  </r>
  <r>
    <x v="204"/>
    <x v="21"/>
    <n v="1050"/>
    <s v="FINALIZADO"/>
    <s v="Conforme"/>
    <m/>
    <d v="2026-06-22T12:15:55"/>
    <m/>
    <m/>
    <m/>
    <s v=""/>
    <s v=""/>
    <s v="2026-04"/>
  </r>
  <r>
    <x v="204"/>
    <x v="10"/>
    <n v="5400"/>
    <s v="FINALIZADO"/>
    <s v="Conforme"/>
    <m/>
    <d v="2026-06-22T12:19:55"/>
    <m/>
    <m/>
    <m/>
    <s v=""/>
    <s v=""/>
    <s v="2026-04"/>
  </r>
  <r>
    <x v="205"/>
    <x v="4"/>
    <n v="6000"/>
    <s v="FINALIZADO"/>
    <s v="Conforme"/>
    <m/>
    <d v="2026-06-22T12:25:34"/>
    <m/>
    <m/>
    <m/>
    <s v=""/>
    <s v=""/>
    <s v="2026-04"/>
  </r>
  <r>
    <x v="205"/>
    <x v="0"/>
    <n v="10000"/>
    <s v="FINALIZADO"/>
    <s v="Conforme"/>
    <m/>
    <d v="2026-06-22T12:31:39"/>
    <m/>
    <m/>
    <m/>
    <s v=""/>
    <s v=""/>
    <s v="2026-04"/>
  </r>
  <r>
    <x v="205"/>
    <x v="0"/>
    <n v="10000"/>
    <s v="FINALIZADO"/>
    <s v="Conforme"/>
    <m/>
    <d v="2026-06-22T12:31:46"/>
    <m/>
    <m/>
    <m/>
    <s v=""/>
    <s v=""/>
    <s v="2026-04"/>
  </r>
  <r>
    <x v="206"/>
    <x v="39"/>
    <n v="1100"/>
    <s v="FINALIZADO"/>
    <s v="Conforme"/>
    <m/>
    <d v="2026-06-22T11:51:15"/>
    <m/>
    <m/>
    <m/>
    <s v=""/>
    <s v=""/>
    <s v="2026-04"/>
  </r>
  <r>
    <x v="206"/>
    <x v="21"/>
    <n v="1050"/>
    <s v="FINALIZADO"/>
    <s v="Conforme"/>
    <m/>
    <d v="2026-06-22T12:15:37"/>
    <m/>
    <m/>
    <m/>
    <s v=""/>
    <s v=""/>
    <s v="2026-04"/>
  </r>
  <r>
    <x v="206"/>
    <x v="24"/>
    <n v="6000"/>
    <s v="FINALIZADO"/>
    <s v="Conforme"/>
    <m/>
    <d v="2026-06-22T12:18:27"/>
    <m/>
    <m/>
    <m/>
    <s v=""/>
    <s v=""/>
    <s v="2026-04"/>
  </r>
  <r>
    <x v="206"/>
    <x v="10"/>
    <n v="2700"/>
    <s v="FINALIZADO"/>
    <s v="Conforme"/>
    <m/>
    <d v="2026-06-22T12:19:33"/>
    <m/>
    <m/>
    <m/>
    <s v=""/>
    <s v=""/>
    <s v="2026-04"/>
  </r>
  <r>
    <x v="207"/>
    <x v="21"/>
    <n v="1050"/>
    <s v="FINALIZADO"/>
    <s v="Conforme"/>
    <m/>
    <d v="2026-06-22T12:14:21"/>
    <m/>
    <m/>
    <m/>
    <s v=""/>
    <s v=""/>
    <s v="2026-05"/>
  </r>
  <r>
    <x v="208"/>
    <x v="40"/>
    <n v="2000"/>
    <s v="FINALIZADO"/>
    <s v="Conforme"/>
    <m/>
    <d v="2026-06-22T11:46:49"/>
    <m/>
    <m/>
    <m/>
    <s v=""/>
    <s v=""/>
    <s v="2026-05"/>
  </r>
  <r>
    <x v="209"/>
    <x v="46"/>
    <n v="3750"/>
    <s v="FINALIZADO"/>
    <s v="Conforme"/>
    <m/>
    <d v="2026-06-22T12:08:33"/>
    <m/>
    <m/>
    <m/>
    <s v=""/>
    <s v=""/>
    <s v="2026-05"/>
  </r>
  <r>
    <x v="209"/>
    <x v="0"/>
    <n v="10000"/>
    <s v="FINALIZADO"/>
    <s v="Conforme"/>
    <m/>
    <d v="2026-06-22T12:31:14"/>
    <m/>
    <m/>
    <m/>
    <s v=""/>
    <s v=""/>
    <s v="2026-05"/>
  </r>
  <r>
    <x v="209"/>
    <x v="2"/>
    <n v="9450"/>
    <s v="FINALIZADO"/>
    <s v="Conforme"/>
    <m/>
    <d v="2026-06-22T13:07:31"/>
    <m/>
    <m/>
    <m/>
    <s v=""/>
    <s v=""/>
    <s v="2026-05"/>
  </r>
  <r>
    <x v="210"/>
    <x v="3"/>
    <n v="10500"/>
    <s v="FINALIZADO"/>
    <s v="Conforme"/>
    <m/>
    <d v="2026-06-22T12:28:41"/>
    <m/>
    <m/>
    <m/>
    <s v=""/>
    <s v=""/>
    <s v="2026-05"/>
  </r>
  <r>
    <x v="211"/>
    <x v="19"/>
    <n v="8500"/>
    <s v="FINALIZADO"/>
    <s v="Conforme"/>
    <m/>
    <m/>
    <m/>
    <m/>
    <m/>
    <s v=""/>
    <s v=""/>
    <s v="2026-05"/>
  </r>
  <r>
    <x v="211"/>
    <x v="2"/>
    <n v="8000"/>
    <s v="FINALIZADO"/>
    <s v="Conforme"/>
    <m/>
    <m/>
    <m/>
    <m/>
    <m/>
    <s v=""/>
    <s v=""/>
    <s v="2026-05"/>
  </r>
  <r>
    <x v="211"/>
    <x v="2"/>
    <n v="8000"/>
    <s v="FINALIZADO"/>
    <s v="Conforme"/>
    <m/>
    <m/>
    <m/>
    <m/>
    <m/>
    <s v=""/>
    <s v=""/>
    <s v="2026-05"/>
  </r>
  <r>
    <x v="211"/>
    <x v="50"/>
    <n v="16800"/>
    <s v="FINALIZADO"/>
    <s v="Conforme"/>
    <m/>
    <m/>
    <m/>
    <m/>
    <m/>
    <s v=""/>
    <s v=""/>
    <s v="2026-05"/>
  </r>
  <r>
    <x v="212"/>
    <x v="5"/>
    <n v="650"/>
    <s v="FINALIZADO"/>
    <s v="Conforme"/>
    <m/>
    <m/>
    <m/>
    <m/>
    <m/>
    <s v=""/>
    <s v=""/>
    <s v="2026-05"/>
  </r>
  <r>
    <x v="212"/>
    <x v="46"/>
    <n v="3750"/>
    <s v="FINALIZADO"/>
    <s v="Conforme"/>
    <m/>
    <m/>
    <m/>
    <m/>
    <m/>
    <s v=""/>
    <s v=""/>
    <s v="2026-05"/>
  </r>
  <r>
    <x v="212"/>
    <x v="4"/>
    <n v="10000"/>
    <s v="FINALIZADO"/>
    <s v="Conforme"/>
    <m/>
    <m/>
    <m/>
    <m/>
    <m/>
    <s v=""/>
    <s v=""/>
    <s v="2026-05"/>
  </r>
  <r>
    <x v="212"/>
    <x v="2"/>
    <n v="10000"/>
    <s v="FINALIZADO"/>
    <s v="Conforme"/>
    <m/>
    <m/>
    <m/>
    <m/>
    <m/>
    <s v=""/>
    <s v=""/>
    <s v="2026-05"/>
  </r>
  <r>
    <x v="212"/>
    <x v="2"/>
    <n v="10000"/>
    <s v="FINALIZADO"/>
    <s v="Conforme"/>
    <m/>
    <m/>
    <m/>
    <m/>
    <m/>
    <s v=""/>
    <s v=""/>
    <s v="2026-05"/>
  </r>
  <r>
    <x v="213"/>
    <x v="0"/>
    <n v="10000"/>
    <s v="FINALIZADO"/>
    <s v="Conforme"/>
    <m/>
    <m/>
    <m/>
    <m/>
    <m/>
    <s v=""/>
    <s v=""/>
    <s v="2026-05"/>
  </r>
  <r>
    <x v="213"/>
    <x v="3"/>
    <n v="10400"/>
    <s v="FINALIZADO"/>
    <s v="Conforme"/>
    <m/>
    <m/>
    <m/>
    <m/>
    <m/>
    <s v=""/>
    <s v=""/>
    <s v="2026-05"/>
  </r>
  <r>
    <x v="213"/>
    <x v="2"/>
    <n v="9350"/>
    <s v="FINALIZADO"/>
    <s v="Conforme"/>
    <m/>
    <m/>
    <m/>
    <m/>
    <m/>
    <s v=""/>
    <s v=""/>
    <s v="2026-05"/>
  </r>
  <r>
    <x v="213"/>
    <x v="31"/>
    <n v="180"/>
    <s v="FINALIZADO"/>
    <s v="Conforme"/>
    <m/>
    <m/>
    <m/>
    <m/>
    <m/>
    <s v=""/>
    <s v=""/>
    <s v="2026-05"/>
  </r>
  <r>
    <x v="213"/>
    <x v="21"/>
    <n v="2100"/>
    <s v="FINALIZADO"/>
    <s v="Conforme"/>
    <m/>
    <m/>
    <m/>
    <m/>
    <m/>
    <s v=""/>
    <s v=""/>
    <s v="2026-05"/>
  </r>
  <r>
    <x v="214"/>
    <x v="3"/>
    <n v="10400"/>
    <s v="FINALIZADO"/>
    <s v="Conforme"/>
    <m/>
    <m/>
    <m/>
    <m/>
    <m/>
    <s v=""/>
    <s v=""/>
    <s v="2026-05"/>
  </r>
  <r>
    <x v="214"/>
    <x v="21"/>
    <n v="1050"/>
    <s v="FINALIZADO"/>
    <s v="Conforme"/>
    <m/>
    <m/>
    <m/>
    <m/>
    <m/>
    <s v=""/>
    <s v=""/>
    <s v="2026-05"/>
  </r>
  <r>
    <x v="214"/>
    <x v="19"/>
    <n v="8500"/>
    <s v="FINALIZADO"/>
    <s v="Conforme"/>
    <m/>
    <m/>
    <m/>
    <m/>
    <m/>
    <s v=""/>
    <s v=""/>
    <s v="2026-05"/>
  </r>
  <r>
    <x v="215"/>
    <x v="7"/>
    <n v="9350"/>
    <s v="FINALIZADO"/>
    <s v="Conforme"/>
    <m/>
    <m/>
    <s v="27h 20min"/>
    <m/>
    <m/>
    <n v="0.17540106951871659"/>
    <n v="1640"/>
    <s v="2026-05"/>
  </r>
  <r>
    <x v="215"/>
    <x v="10"/>
    <n v="900"/>
    <s v="FINALIZADO"/>
    <s v="Conforme"/>
    <m/>
    <m/>
    <m/>
    <m/>
    <m/>
    <s v=""/>
    <s v=""/>
    <s v="2026-05"/>
  </r>
  <r>
    <x v="216"/>
    <x v="3"/>
    <n v="10400"/>
    <s v="FINALIZADO"/>
    <s v="Conforme"/>
    <m/>
    <m/>
    <m/>
    <m/>
    <m/>
    <s v=""/>
    <s v=""/>
    <s v="2026-05"/>
  </r>
  <r>
    <x v="216"/>
    <x v="21"/>
    <n v="6300"/>
    <s v="FINALIZADO"/>
    <s v="Conforme"/>
    <m/>
    <m/>
    <m/>
    <m/>
    <m/>
    <s v=""/>
    <s v=""/>
    <s v="2026-05"/>
  </r>
  <r>
    <x v="216"/>
    <x v="10"/>
    <n v="900"/>
    <s v="FINALIZADO"/>
    <s v="Conforme"/>
    <m/>
    <m/>
    <m/>
    <m/>
    <m/>
    <s v=""/>
    <s v=""/>
    <s v="2026-05"/>
  </r>
  <r>
    <x v="217"/>
    <x v="4"/>
    <n v="4000"/>
    <s v="FINALIZADO"/>
    <s v="Conforme"/>
    <m/>
    <m/>
    <m/>
    <m/>
    <m/>
    <s v=""/>
    <s v=""/>
    <s v="2026-05"/>
  </r>
  <r>
    <x v="217"/>
    <x v="2"/>
    <n v="10000"/>
    <s v="FINALIZADO"/>
    <s v="Conforme"/>
    <m/>
    <m/>
    <m/>
    <m/>
    <m/>
    <s v=""/>
    <s v=""/>
    <s v="2026-05"/>
  </r>
  <r>
    <x v="218"/>
    <x v="4"/>
    <n v="1100"/>
    <s v="FINALIZADO"/>
    <s v="Conforme"/>
    <m/>
    <m/>
    <m/>
    <m/>
    <m/>
    <s v=""/>
    <s v=""/>
    <s v="2026-05"/>
  </r>
  <r>
    <x v="218"/>
    <x v="17"/>
    <n v="1000"/>
    <s v="FINALIZADO"/>
    <s v="Conforme"/>
    <m/>
    <m/>
    <m/>
    <m/>
    <m/>
    <s v=""/>
    <s v=""/>
    <s v="2026-05"/>
  </r>
  <r>
    <x v="218"/>
    <x v="2"/>
    <n v="10000"/>
    <s v="FINALIZADO"/>
    <s v="Conforme"/>
    <m/>
    <m/>
    <m/>
    <m/>
    <m/>
    <s v=""/>
    <s v=""/>
    <s v="2026-05"/>
  </r>
  <r>
    <x v="219"/>
    <x v="3"/>
    <n v="10400"/>
    <s v="FINALIZADO"/>
    <s v="Conforme"/>
    <m/>
    <m/>
    <m/>
    <m/>
    <m/>
    <s v=""/>
    <s v=""/>
    <s v="2026-05"/>
  </r>
  <r>
    <x v="219"/>
    <x v="2"/>
    <n v="10000"/>
    <s v="FINALIZADO"/>
    <s v="Conforme"/>
    <m/>
    <m/>
    <m/>
    <m/>
    <m/>
    <s v=""/>
    <s v=""/>
    <s v="2026-05"/>
  </r>
  <r>
    <x v="219"/>
    <x v="15"/>
    <n v="10000"/>
    <s v="FINALIZADO"/>
    <s v="Conforme"/>
    <m/>
    <m/>
    <m/>
    <m/>
    <m/>
    <s v=""/>
    <s v=""/>
    <s v="2026-05"/>
  </r>
  <r>
    <x v="219"/>
    <x v="10"/>
    <n v="2700"/>
    <s v="FINALIZADO"/>
    <s v="Conforme"/>
    <m/>
    <m/>
    <m/>
    <m/>
    <m/>
    <s v=""/>
    <s v=""/>
    <s v="2026-05"/>
  </r>
  <r>
    <x v="219"/>
    <x v="46"/>
    <n v="5000"/>
    <s v="FINALIZADO"/>
    <s v="Conforme"/>
    <m/>
    <m/>
    <m/>
    <m/>
    <m/>
    <s v=""/>
    <s v=""/>
    <s v="2026-05"/>
  </r>
  <r>
    <x v="219"/>
    <x v="35"/>
    <n v="2500"/>
    <s v="FINALIZADO"/>
    <s v="Conforme"/>
    <m/>
    <m/>
    <m/>
    <m/>
    <m/>
    <s v=""/>
    <s v=""/>
    <s v="2026-05"/>
  </r>
  <r>
    <x v="220"/>
    <x v="17"/>
    <n v="210"/>
    <s v="FINALIZADO"/>
    <s v="Conforme"/>
    <m/>
    <m/>
    <m/>
    <m/>
    <m/>
    <s v=""/>
    <s v=""/>
    <s v="2026-05"/>
  </r>
  <r>
    <x v="221"/>
    <x v="0"/>
    <n v="10000"/>
    <s v="FINALIZADO"/>
    <s v="Conforme"/>
    <m/>
    <m/>
    <m/>
    <m/>
    <m/>
    <s v=""/>
    <s v=""/>
    <s v="2026-05"/>
  </r>
  <r>
    <x v="221"/>
    <x v="3"/>
    <n v="10400"/>
    <s v="FINALIZADO"/>
    <s v="Conforme"/>
    <m/>
    <m/>
    <m/>
    <m/>
    <m/>
    <s v=""/>
    <s v=""/>
    <s v="2026-05"/>
  </r>
  <r>
    <x v="221"/>
    <x v="47"/>
    <n v="500"/>
    <s v="FINALIZADO"/>
    <s v="Conforme"/>
    <d v="2026-05-27T08:30:18"/>
    <d v="2026-05-27T08:40:18"/>
    <s v="0h10min"/>
    <m/>
    <m/>
    <n v="0"/>
    <n v="0"/>
    <s v="2026-05"/>
  </r>
  <r>
    <x v="221"/>
    <x v="2"/>
    <n v="9000"/>
    <s v="FINALIZADO"/>
    <s v="Conforme"/>
    <d v="2026-05-27T12:35:21"/>
    <d v="2026-05-28T15:56:10"/>
    <s v="27h 20min"/>
    <m/>
    <m/>
    <n v="0.18222222222222223"/>
    <n v="1640"/>
    <s v="2026-05"/>
  </r>
  <r>
    <x v="222"/>
    <x v="0"/>
    <n v="10000"/>
    <s v="FINALIZADO"/>
    <s v="Conforme"/>
    <d v="2026-05-27T16:35:21"/>
    <d v="2026-05-28T15:57:04"/>
    <s v="23h 21min"/>
    <m/>
    <m/>
    <n v="0.1401"/>
    <n v="1401"/>
    <s v="2026-05"/>
  </r>
  <r>
    <x v="222"/>
    <x v="3"/>
    <n v="10400"/>
    <s v="FINALIZADO"/>
    <s v="Conforme"/>
    <d v="2026-05-28T16:14:14"/>
    <d v="2026-06-01T15:39:16"/>
    <s v="35h 25min"/>
    <m/>
    <m/>
    <n v="0.20432692307692307"/>
    <n v="2125"/>
    <s v="2026-05"/>
  </r>
  <r>
    <x v="222"/>
    <x v="33"/>
    <n v="2000"/>
    <s v="FINALIZADO"/>
    <s v="Conforme"/>
    <d v="2026-05-28T10:30:35"/>
    <d v="2026-05-28T10:46:26"/>
    <s v="0h 15min"/>
    <m/>
    <m/>
    <n v="7.4999999999999997E-3"/>
    <n v="15"/>
    <s v="2026-05"/>
  </r>
  <r>
    <x v="222"/>
    <x v="0"/>
    <n v="10000"/>
    <s v="FINALIZADO"/>
    <s v="Conforme"/>
    <d v="2026-06-01T07:17:26"/>
    <d v="2026-06-01T07:17:29"/>
    <s v="26h 32min"/>
    <m/>
    <m/>
    <n v="0.15920000000000001"/>
    <n v="1592"/>
    <s v="2026-05"/>
  </r>
  <r>
    <x v="223"/>
    <x v="24"/>
    <n v="3000"/>
    <s v="FINALIZADO"/>
    <s v="Conforme"/>
    <d v="2026-05-29T15:26:01"/>
    <d v="2026-06-01T10:13:38"/>
    <s v="40h 47min"/>
    <m/>
    <m/>
    <n v="0.81566666666666665"/>
    <n v="2447"/>
    <s v="2026-05"/>
  </r>
  <r>
    <x v="223"/>
    <x v="9"/>
    <n v="1000"/>
    <s v="FINALIZADO"/>
    <s v="Conforme"/>
    <d v="2026-05-29T15:19:40"/>
    <d v="2026-05-29T15:55:37"/>
    <s v="0h 35min"/>
    <m/>
    <m/>
    <n v="3.5000000000000003E-2"/>
    <n v="35"/>
    <s v="2026-05"/>
  </r>
  <r>
    <x v="223"/>
    <x v="30"/>
    <n v="1000"/>
    <s v="FINALIZADO"/>
    <s v="Conforme"/>
    <d v="2026-05-29T12:39:39"/>
    <d v="2026-05-29T12:44:59"/>
    <s v="0h 5min"/>
    <m/>
    <m/>
    <n v="5.0000000000000001E-3"/>
    <n v="5"/>
    <s v="2026-05"/>
  </r>
  <r>
    <x v="223"/>
    <x v="18"/>
    <n v="400"/>
    <s v="FINALIZADO"/>
    <s v="Conforme"/>
    <d v="2026-05-29T10:24:43"/>
    <d v="2026-06-01T07:16:56"/>
    <s v="26h 52min"/>
    <m/>
    <m/>
    <n v="4.03"/>
    <n v="1612"/>
    <s v="2026-05"/>
  </r>
  <r>
    <x v="223"/>
    <x v="19"/>
    <n v="8500"/>
    <s v="FINALIZADO"/>
    <s v="Conforme"/>
    <d v="2026-05-29T11:43:08"/>
    <d v="2026-06-01T07:16:51"/>
    <s v="32h 33min"/>
    <m/>
    <m/>
    <n v="0.22976470588235295"/>
    <n v="1953"/>
    <s v="2026-05"/>
  </r>
  <r>
    <x v="224"/>
    <x v="0"/>
    <n v="10000"/>
    <s v="FINALIZADO"/>
    <s v="Conforme"/>
    <d v="2026-06-01T11:04:22"/>
    <d v="2026-06-03T07:17:43"/>
    <s v="23h 32min"/>
    <m/>
    <m/>
    <n v="0.14119999999999999"/>
    <n v="1412"/>
    <s v="2026-06"/>
  </r>
  <r>
    <x v="224"/>
    <x v="2"/>
    <n v="10000"/>
    <s v="FINALIZADO"/>
    <s v="Conforme"/>
    <d v="2026-06-01T16:38:13"/>
    <d v="2026-06-03T07:18:09"/>
    <s v="24h 32min"/>
    <m/>
    <m/>
    <n v="0.1472"/>
    <n v="1472"/>
    <s v="2026-06"/>
  </r>
  <r>
    <x v="224"/>
    <x v="12"/>
    <n v="1000"/>
    <s v="FINALIZADO"/>
    <s v="Conforme"/>
    <d v="2026-06-01T13:20:11"/>
    <d v="2026-06-01T13:39:22"/>
    <s v="0h 19min"/>
    <m/>
    <m/>
    <n v="1.9E-2"/>
    <n v="19"/>
    <s v="2026-06"/>
  </r>
  <r>
    <x v="224"/>
    <x v="10"/>
    <n v="900"/>
    <s v="FINALIZADO"/>
    <s v="Conforme"/>
    <d v="2026-06-01T15:00:09"/>
    <d v="2026-06-01T15:39:02"/>
    <s v="0h 38min"/>
    <m/>
    <m/>
    <n v="4.2222222222222223E-2"/>
    <n v="38"/>
    <s v="2026-06"/>
  </r>
  <r>
    <x v="224"/>
    <x v="21"/>
    <n v="1050"/>
    <s v="FINALIZADO"/>
    <s v="Conforme"/>
    <d v="2026-06-01T13:01:37"/>
    <d v="2026-06-01T13:48:57"/>
    <s v="0h 47min"/>
    <m/>
    <m/>
    <n v="4.476190476190476E-2"/>
    <n v="47"/>
    <s v="2026-06"/>
  </r>
  <r>
    <x v="224"/>
    <x v="9"/>
    <n v="1000"/>
    <s v="FINALIZADO"/>
    <s v="Conforme"/>
    <d v="2026-06-01T12:40:39"/>
    <d v="2026-06-01T13:14:23"/>
    <s v="0h 33min"/>
    <m/>
    <m/>
    <n v="3.3000000000000002E-2"/>
    <n v="33"/>
    <s v="2026-06"/>
  </r>
  <r>
    <x v="225"/>
    <x v="2"/>
    <n v="10000"/>
    <s v="FINALIZADO"/>
    <s v="Conforme"/>
    <d v="2026-06-02T12:18:44"/>
    <d v="2026-06-03T16:53:05"/>
    <s v="28h 34min"/>
    <m/>
    <m/>
    <n v="0.1714"/>
    <n v="1714"/>
    <s v="2026-06"/>
  </r>
  <r>
    <x v="225"/>
    <x v="0"/>
    <n v="10000"/>
    <s v="FINALIZADO"/>
    <s v="Conforme"/>
    <d v="2026-06-01T12:18:00"/>
    <d v="2026-06-02T17:18:00"/>
    <s v="26h 31min"/>
    <m/>
    <m/>
    <n v="0.15909999999999999"/>
    <n v="1591"/>
    <s v="2026-06"/>
  </r>
  <r>
    <x v="225"/>
    <x v="3"/>
    <n v="10400"/>
    <s v="FINALIZADO"/>
    <s v="Conforme"/>
    <d v="2026-06-02T10:19:13"/>
    <d v="2026-06-05T08:04:28"/>
    <s v="26h 45min"/>
    <m/>
    <m/>
    <n v="0.15432692307692308"/>
    <n v="1605"/>
    <s v="2026-06"/>
  </r>
  <r>
    <x v="225"/>
    <x v="10"/>
    <n v="1800"/>
    <s v="FINALIZADO"/>
    <s v="Conforme"/>
    <d v="2026-06-02T11:00:00"/>
    <d v="2026-06-02T12:47:00"/>
    <s v="1h 47min"/>
    <m/>
    <m/>
    <n v="5.9444444444444446E-2"/>
    <n v="107"/>
    <s v="2026-06"/>
  </r>
  <r>
    <x v="226"/>
    <x v="12"/>
    <n v="900"/>
    <s v="FINALIZADO"/>
    <s v="Conforme"/>
    <d v="2026-06-03T07:48:46"/>
    <d v="2026-06-03T08:03:03"/>
    <s v="0h 14min"/>
    <m/>
    <m/>
    <n v="1.5555555555555555E-2"/>
    <n v="14"/>
    <s v="2026-06"/>
  </r>
  <r>
    <x v="226"/>
    <x v="22"/>
    <n v="1050"/>
    <s v="FINALIZADO"/>
    <s v="Conforme"/>
    <d v="2026-06-03T07:53:01"/>
    <d v="2026-06-03T08:17:56"/>
    <s v="0h 24min"/>
    <m/>
    <m/>
    <n v="2.2857142857142857E-2"/>
    <n v="24"/>
    <s v="2026-06"/>
  </r>
  <r>
    <x v="226"/>
    <x v="21"/>
    <n v="3150"/>
    <s v="FINALIZADO"/>
    <s v="Conforme"/>
    <d v="2026-06-03T10:48:00"/>
    <d v="2026-06-03T12:34:24"/>
    <s v="1h 46min"/>
    <m/>
    <m/>
    <n v="3.3650793650793653E-2"/>
    <n v="106"/>
    <s v="2026-06"/>
  </r>
  <r>
    <x v="226"/>
    <x v="36"/>
    <n v="3750"/>
    <s v="FINALIZADO"/>
    <s v="Conforme"/>
    <d v="2026-06-03T16:35:19"/>
    <d v="2026-06-03T16:53:33"/>
    <s v="0h 38min"/>
    <m/>
    <m/>
    <n v="1.0133333333333333E-2"/>
    <n v="38"/>
    <s v="2026-06"/>
  </r>
  <r>
    <x v="226"/>
    <x v="0"/>
    <n v="10000"/>
    <s v="FINALIZADO"/>
    <s v="Conforme"/>
    <d v="2026-06-03T11:51:12"/>
    <d v="2026-06-04T08:52:57"/>
    <s v="26h 31min"/>
    <m/>
    <m/>
    <n v="0.15909999999999999"/>
    <n v="1591"/>
    <s v="2026-06"/>
  </r>
  <r>
    <x v="227"/>
    <x v="2"/>
    <n v="10000"/>
    <s v="FINALIZADO"/>
    <s v="Conforme"/>
    <d v="2026-06-05T11:17:31"/>
    <d v="2026-06-08T08:53:28"/>
    <s v="30h 35min"/>
    <m/>
    <m/>
    <n v="0.1835"/>
    <n v="1835"/>
    <s v="2026-06"/>
  </r>
  <r>
    <x v="227"/>
    <x v="1"/>
    <n v="1000"/>
    <s v="FINALIZADO"/>
    <s v="Conforme"/>
    <d v="2026-06-05T09:14:52"/>
    <d v="2026-06-05T11:17:42"/>
    <s v="2h 2min"/>
    <m/>
    <m/>
    <n v="0.122"/>
    <n v="122"/>
    <s v="2026-06"/>
  </r>
  <r>
    <x v="227"/>
    <x v="36"/>
    <n v="11250"/>
    <s v="FINALIZADO"/>
    <s v="Conforme"/>
    <d v="2026-06-05T09:15:04"/>
    <d v="2026-06-05T12:38:40"/>
    <s v="3h 23min"/>
    <m/>
    <m/>
    <n v="1.8044444444444443E-2"/>
    <n v="203"/>
    <s v="2026-06"/>
  </r>
  <r>
    <x v="228"/>
    <x v="49"/>
    <n v="17500"/>
    <s v="FINALIZADO"/>
    <s v="Conforme"/>
    <d v="2026-06-08T14:56:07"/>
    <d v="2026-06-08T16:23:52"/>
    <s v="1h 27min"/>
    <m/>
    <m/>
    <n v="4.9714285714285711E-3"/>
    <n v="87"/>
    <s v="2026-06"/>
  </r>
  <r>
    <x v="228"/>
    <x v="2"/>
    <n v="6800"/>
    <s v="FINALIZADO"/>
    <s v="Conforme"/>
    <d v="2026-06-08T11:22:49"/>
    <d v="2026-06-09T16:03:33"/>
    <s v="28h 40min"/>
    <m/>
    <m/>
    <n v="0.25294117647058822"/>
    <n v="1720"/>
    <s v="2026-06"/>
  </r>
  <r>
    <x v="228"/>
    <x v="17"/>
    <n v="500"/>
    <s v="FINALIZADO"/>
    <s v="Conforme"/>
    <d v="2026-06-08T16:22:49"/>
    <d v="2026-06-08T16:41:49"/>
    <s v="0h 23min"/>
    <m/>
    <m/>
    <n v="4.5999999999999999E-2"/>
    <n v="23"/>
    <s v="2026-06"/>
  </r>
  <r>
    <x v="229"/>
    <x v="36"/>
    <n v="10000"/>
    <s v="FINALIZADO"/>
    <s v="Conforme"/>
    <d v="2026-06-09T09:30:01"/>
    <d v="2026-06-09T10:54:10"/>
    <s v="2h 24min"/>
    <m/>
    <m/>
    <n v="1.44E-2"/>
    <n v="144"/>
    <s v="2026-06"/>
  </r>
  <r>
    <x v="229"/>
    <x v="19"/>
    <n v="8500"/>
    <s v="FINALIZADO"/>
    <s v="Conforme"/>
    <d v="2026-06-09T16:04:17"/>
    <d v="2026-06-10T12:10:37"/>
    <s v="20h 6min"/>
    <m/>
    <m/>
    <n v="0.14188235294117646"/>
    <n v="1206"/>
    <s v="2026-06"/>
  </r>
  <r>
    <x v="229"/>
    <x v="44"/>
    <n v="500"/>
    <s v="FINALIZADO"/>
    <s v="Conforme"/>
    <d v="2026-06-09T13:02:14"/>
    <d v="2026-06-09T14:02:21"/>
    <s v="1h04min"/>
    <m/>
    <m/>
    <n v="0.128"/>
    <n v="64"/>
    <s v="2026-06"/>
  </r>
  <r>
    <x v="230"/>
    <x v="4"/>
    <n v="8000"/>
    <s v="FINALIZADO"/>
    <s v="Conforme"/>
    <d v="2026-06-10T12:00:47"/>
    <d v="2026-06-10T15:48:13"/>
    <s v="3h 47min"/>
    <m/>
    <m/>
    <n v="2.8375000000000001E-2"/>
    <n v="227"/>
    <s v="2026-06"/>
  </r>
  <r>
    <x v="230"/>
    <x v="2"/>
    <n v="10000"/>
    <s v="FINALIZADO"/>
    <s v="Conforme"/>
    <d v="2026-06-10T10:06:25"/>
    <d v="2026-06-11T16:40:04"/>
    <s v="28h 33min"/>
    <m/>
    <m/>
    <n v="0.17130000000000001"/>
    <n v="1713"/>
    <s v="2026-06"/>
  </r>
  <r>
    <x v="231"/>
    <x v="2"/>
    <n v="10000"/>
    <s v="FINALIZADO"/>
    <s v="Conforme"/>
    <d v="2026-06-11T11:57:38"/>
    <d v="2026-06-12T14:50:34"/>
    <s v="26h 52min"/>
    <m/>
    <m/>
    <n v="0.16120000000000001"/>
    <n v="1612"/>
    <s v="2026-06"/>
  </r>
  <r>
    <x v="231"/>
    <x v="10"/>
    <n v="4500"/>
    <s v="FINALIZADO"/>
    <s v="Conforme"/>
    <d v="2026-06-12T08:39:56"/>
    <d v="2026-06-12T10:32:13"/>
    <s v="1h 52min"/>
    <m/>
    <m/>
    <n v="2.4888888888888887E-2"/>
    <n v="112"/>
    <s v="2026-06"/>
  </r>
  <r>
    <x v="231"/>
    <x v="46"/>
    <n v="5000"/>
    <s v="FINALIZADO"/>
    <s v="Conforme"/>
    <d v="2026-06-12T07:40:29"/>
    <d v="2026-06-12T09:00:29"/>
    <s v="1h20min"/>
    <m/>
    <m/>
    <n v="1.2E-2"/>
    <n v="60"/>
    <s v="2026-06"/>
  </r>
  <r>
    <x v="231"/>
    <x v="4"/>
    <n v="5000"/>
    <s v="FINALIZADO"/>
    <s v="Conforme"/>
    <d v="2026-06-11T10:05:03"/>
    <d v="2026-06-11T11:10:30"/>
    <s v="1h 15min"/>
    <m/>
    <m/>
    <n v="1.4999999999999999E-2"/>
    <n v="75"/>
    <s v="2026-06"/>
  </r>
  <r>
    <x v="232"/>
    <x v="28"/>
    <n v="1200"/>
    <s v="FINALIZADO"/>
    <s v="Conforme"/>
    <d v="2026-06-12T14:50:59"/>
    <d v="2026-06-12T14:51:31"/>
    <s v="01h 04min"/>
    <m/>
    <m/>
    <n v="5.3333333333333337E-2"/>
    <n v="64"/>
    <s v="2026-06"/>
  </r>
  <r>
    <x v="232"/>
    <x v="3"/>
    <n v="10400"/>
    <s v="FINALIZADO"/>
    <s v="Conforme"/>
    <d v="2026-06-12T10:27:36"/>
    <d v="2026-06-15T11:39:27"/>
    <s v="28h 11min"/>
    <m/>
    <m/>
    <n v="0.16259615384615383"/>
    <n v="1691"/>
    <s v="2026-06"/>
  </r>
  <r>
    <x v="232"/>
    <x v="2"/>
    <n v="10000"/>
    <s v="FINALIZADO"/>
    <s v="Conforme"/>
    <d v="2026-06-12T12:04:51"/>
    <d v="2026-06-15T12:47:43"/>
    <s v="27h 42min"/>
    <m/>
    <m/>
    <n v="0.16619999999999999"/>
    <n v="1662"/>
    <s v="2026-06"/>
  </r>
  <r>
    <x v="233"/>
    <x v="2"/>
    <n v="7300"/>
    <s v="FINALIZADO"/>
    <s v="Conforme"/>
    <d v="2026-06-15T15:11:06"/>
    <d v="2026-06-16T14:44:42"/>
    <s v="23h 33min"/>
    <m/>
    <m/>
    <n v="0.19356164383561644"/>
    <n v="1413"/>
    <s v="2026-06"/>
  </r>
  <r>
    <x v="233"/>
    <x v="9"/>
    <n v="1000"/>
    <s v="FINALIZADO"/>
    <s v="Conforme"/>
    <d v="2026-06-15T11:30:01"/>
    <d v="2026-06-15T12:47:54"/>
    <s v="1h 17min"/>
    <m/>
    <m/>
    <n v="7.6999999999999999E-2"/>
    <n v="77"/>
    <s v="2026-06"/>
  </r>
  <r>
    <x v="233"/>
    <x v="10"/>
    <n v="2700"/>
    <s v="FINALIZADO"/>
    <s v="Conforme"/>
    <d v="2026-06-15T10:29:59"/>
    <d v="2026-06-15T11:29:48"/>
    <s v="0h 59min"/>
    <m/>
    <m/>
    <n v="2.1851851851851851E-2"/>
    <n v="59"/>
    <s v="2026-06"/>
  </r>
  <r>
    <x v="234"/>
    <x v="3"/>
    <n v="10400"/>
    <s v="FINALIZADO"/>
    <s v="Conforme"/>
    <d v="2026-06-16T09:03:13"/>
    <d v="2026-06-17T11:26:35"/>
    <s v="26h 23min"/>
    <m/>
    <m/>
    <n v="0.15221153846153845"/>
    <n v="1583"/>
    <s v="2026-06"/>
  </r>
  <r>
    <x v="234"/>
    <x v="15"/>
    <n v="10000"/>
    <s v="FINALIZADO"/>
    <s v="Conforme"/>
    <d v="2026-06-19T07:25:21"/>
    <d v="2026-06-20T10:59:03"/>
    <s v="30h 15min"/>
    <s v="parado 12h/problema/eletrica"/>
    <m/>
    <n v="0.18149999999999999"/>
    <n v="1815"/>
    <s v="2026-06"/>
  </r>
  <r>
    <x v="234"/>
    <x v="37"/>
    <n v="11600"/>
    <s v="FINALIZADO"/>
    <s v="Conforme"/>
    <d v="2026-06-16T14:44:53"/>
    <d v="2026-06-19T07:25:27"/>
    <s v="34h 41min"/>
    <s v="parado 8h/problema/eletrica"/>
    <m/>
    <n v="0.17939655172413793"/>
    <n v="2081"/>
    <s v="2026-06"/>
  </r>
  <r>
    <x v="235"/>
    <x v="3"/>
    <n v="10400"/>
    <s v="FINALIZADO"/>
    <s v="Conforme"/>
    <d v="2026-06-18T08:19:26"/>
    <d v="2026-06-19T12:00:56"/>
    <s v="27h 41min"/>
    <m/>
    <m/>
    <n v="0.15971153846153846"/>
    <n v="1661"/>
    <s v="2026-06"/>
  </r>
  <r>
    <x v="235"/>
    <x v="38"/>
    <n v="650"/>
    <s v="FINALIZADO"/>
    <s v="Conforme"/>
    <d v="2026-06-18T09:18:40"/>
    <d v="2026-06-18T10:12:06"/>
    <s v="0h 53min"/>
    <m/>
    <m/>
    <n v="8.1538461538461532E-2"/>
    <n v="53"/>
    <s v="2026-06"/>
  </r>
  <r>
    <x v="235"/>
    <x v="4"/>
    <n v="4000"/>
    <s v="FINALIZADO"/>
    <s v="Conforme"/>
    <d v="2026-06-18T15:25:58"/>
    <d v="2026-06-18T16:25:59"/>
    <s v="1h 0min"/>
    <m/>
    <m/>
    <n v="1.4999999999999999E-2"/>
    <n v="60"/>
    <s v="2026-06"/>
  </r>
  <r>
    <x v="235"/>
    <x v="46"/>
    <n v="3750"/>
    <s v="FINALIZADO"/>
    <s v="Conforme"/>
    <d v="2026-06-18T16:30:58"/>
    <d v="2026-06-18T17:26:45"/>
    <s v="1h 12min"/>
    <m/>
    <m/>
    <n v="1.9199999999999998E-2"/>
    <n v="72"/>
    <s v="2026-06"/>
  </r>
  <r>
    <x v="236"/>
    <x v="22"/>
    <n v="340"/>
    <s v="FINALIZADO"/>
    <s v="Conforme"/>
    <d v="2026-06-19T11:42:29"/>
    <d v="2026-06-19T11:58:00"/>
    <s v="0h 16min"/>
    <m/>
    <m/>
    <n v="4.7058823529411764E-2"/>
    <n v="16"/>
    <s v="2026-06"/>
  </r>
  <r>
    <x v="236"/>
    <x v="1"/>
    <n v="2000"/>
    <s v="FINALIZADO"/>
    <s v="Conforme"/>
    <d v="2026-06-19T12:42:29"/>
    <d v="2026-06-19T12:58:00"/>
    <s v="1h 30min"/>
    <m/>
    <m/>
    <n v="4.4999999999999998E-2"/>
    <n v="90"/>
    <s v="2026-06"/>
  </r>
  <r>
    <x v="237"/>
    <x v="19"/>
    <n v="8500"/>
    <s v="PARADO!"/>
    <m/>
    <m/>
    <m/>
    <s v="3h 6min"/>
    <m/>
    <n v="186.01666666916572"/>
    <s v=""/>
    <s v=""/>
    <s v="2026-06"/>
  </r>
  <r>
    <x v="237"/>
    <x v="40"/>
    <n v="2000"/>
    <s v="FINALIZADO"/>
    <s v="Conforme"/>
    <d v="2026-06-22T09:40:54"/>
    <d v="2026-06-22T12:04:24"/>
    <s v="2h 24min"/>
    <m/>
    <m/>
    <n v="7.1999999999999995E-2"/>
    <n v="144"/>
    <s v="2026-06"/>
  </r>
  <r>
    <x v="237"/>
    <x v="4"/>
    <n v="6000"/>
    <s v="PENDENTE"/>
    <m/>
    <m/>
    <m/>
    <m/>
    <m/>
    <m/>
    <s v=""/>
    <s v=""/>
    <s v="2026-06"/>
  </r>
  <r>
    <x v="237"/>
    <x v="48"/>
    <n v="1200"/>
    <s v="FINALIZADO"/>
    <s v="Conforme"/>
    <d v="2026-06-22T11:30:51"/>
    <d v="2026-06-22T12:04:58"/>
    <s v="0h 34min"/>
    <m/>
    <m/>
    <n v="2.8333333333333332E-2"/>
    <n v="34"/>
    <s v="2026-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compact="0" compactData="0" multipleFieldFilters="0" chartFormat="60">
  <location ref="A1:B24" firstHeaderRow="1" firstDataRow="1" firstDataCol="1"/>
  <pivotFields count="13">
    <pivotField compact="0" numFmtId="14" outline="0" subtotalTop="0" showAll="0" defaultSubtotal="0">
      <items count="2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</items>
    </pivotField>
    <pivotField axis="axisRow" compact="0" outline="0" showAll="0" sortType="ascending" defaultSubtotal="0">
      <items count="54">
        <item h="1" m="1" x="51"/>
        <item x="42"/>
        <item x="25"/>
        <item x="26"/>
        <item x="29"/>
        <item x="37"/>
        <item x="23"/>
        <item x="27"/>
        <item x="28"/>
        <item x="44"/>
        <item x="21"/>
        <item x="6"/>
        <item x="20"/>
        <item x="24"/>
        <item m="1" x="53"/>
        <item x="17"/>
        <item x="1"/>
        <item x="40"/>
        <item x="36"/>
        <item x="14"/>
        <item x="18"/>
        <item x="38"/>
        <item x="19"/>
        <item x="5"/>
        <item x="9"/>
        <item x="8"/>
        <item x="16"/>
        <item x="3"/>
        <item x="10"/>
        <item x="46"/>
        <item x="31"/>
        <item x="39"/>
        <item x="4"/>
        <item x="2"/>
        <item x="15"/>
        <item x="7"/>
        <item x="0"/>
        <item x="33"/>
        <item x="12"/>
        <item x="30"/>
        <item x="13"/>
        <item x="11"/>
        <item x="45"/>
        <item x="34"/>
        <item x="43"/>
        <item x="32"/>
        <item x="41"/>
        <item x="35"/>
        <item x="22"/>
        <item x="47"/>
        <item x="48"/>
        <item x="49"/>
        <item x="50"/>
        <item h="1" m="1" x="5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23">
    <i>
      <x v="15"/>
    </i>
    <i>
      <x v="9"/>
    </i>
    <i>
      <x v="21"/>
    </i>
    <i>
      <x v="50"/>
    </i>
    <i>
      <x v="8"/>
    </i>
    <i>
      <x v="48"/>
    </i>
    <i>
      <x v="38"/>
    </i>
    <i>
      <x v="24"/>
    </i>
    <i>
      <x v="17"/>
    </i>
    <i>
      <x v="16"/>
    </i>
    <i>
      <x v="10"/>
    </i>
    <i>
      <x v="29"/>
    </i>
    <i>
      <x v="28"/>
    </i>
    <i>
      <x v="34"/>
    </i>
    <i>
      <x v="5"/>
    </i>
    <i>
      <x v="22"/>
    </i>
    <i>
      <x v="51"/>
    </i>
    <i>
      <x v="32"/>
    </i>
    <i>
      <x v="18"/>
    </i>
    <i>
      <x v="36"/>
    </i>
    <i>
      <x v="27"/>
    </i>
    <i>
      <x v="33"/>
    </i>
    <i t="grand">
      <x/>
    </i>
  </rowItems>
  <colItems count="1">
    <i/>
  </colItems>
  <dataFields count="1">
    <dataField name="Soma de Quantidade_Produzida_kg" fld="2" baseField="2" baseItem="0" numFmtId="3"/>
  </dataFields>
  <formats count="9">
    <format dxfId="7">
      <pivotArea field="1" type="button" dataOnly="0" labelOnly="1" outline="0" axis="axisRow" fieldPosition="0"/>
    </format>
    <format dxfId="6">
      <pivotArea dataOnly="0" labelOnly="1" outline="0" axis="axisValues" fieldPosition="0"/>
    </format>
    <format>
      <pivotArea field="1" type="button" dataOnly="0" labelOnly="1" outline="0" axis="axisRow" fieldPosition="0"/>
    </format>
    <format>
      <pivotArea dataOnly="0" labelOnly="1" outline="0" axis="axisValues" fieldPosition="0"/>
    </format>
    <format dxfId="5">
      <pivotArea outline="0" collapsedLevelsAreSubtotals="1" fieldPosition="0"/>
    </format>
    <format dxfId="4">
      <pivotArea dataOnly="0" labelOnly="1" grandRow="1" outline="0" fieldPosition="0"/>
    </format>
    <format>
      <pivotArea dataOnly="0" labelOnly="1" grandRow="1" outline="0" fieldPosition="0"/>
    </format>
    <format>
      <pivotArea dataOnly="0" labelOnly="1" grandRow="1" outline="0" fieldPosition="0"/>
    </format>
    <format>
      <pivotArea dataOnly="0" labelOnly="1" grandRow="1" outline="0" fieldPosition="0"/>
    </format>
  </formats>
  <chartFormats count="1">
    <chartFormat chart="4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3" showRowHeaders="1" showColHeaders="1" showRowStripes="0" showColStripes="0" showLastColumn="1"/>
  <filters count="1">
    <filter fld="0" type="dateBetween" evalOrder="-1" id="682" name="DATA">
      <autoFilter ref="A1">
        <filterColumn colId="0">
          <customFilters and="1">
            <customFilter operator="greaterThanOrEqual" val="46174"/>
            <customFilter operator="lessThanOrEqual" val="4620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Cadastro_MP" displayName="tb_Cadastro_MP" ref="A1:E24" totalsRowShown="0">
  <autoFilter ref="A1:E24" xr:uid="{00000000-0009-0000-0100-000001000000}"/>
  <sortState xmlns:xlrd2="http://schemas.microsoft.com/office/spreadsheetml/2017/richdata2" ref="A2:E24">
    <sortCondition descending="1" ref="D1:D24"/>
  </sortState>
  <tableColumns count="5">
    <tableColumn id="2" xr3:uid="{00000000-0010-0000-0000-000002000000}" name="Matéria-Prima" dataDxfId="25"/>
    <tableColumn id="8" xr3:uid="{00000000-0010-0000-0000-000008000000}" name="Estoque_Atual_kg" dataDxfId="24"/>
    <tableColumn id="9" xr3:uid="{00000000-0010-0000-0000-000009000000}" name="OBS"/>
    <tableColumn id="10" xr3:uid="{00000000-0010-0000-0000-00000A000000}" name="DATA" dataDxfId="23"/>
    <tableColumn id="11" xr3:uid="{00000000-0010-0000-0000-00000B000000}" name="CONTAGEM" dataDxfId="22">
      <calculatedColumnFormula>IF(TODAY()-D2&gt;=4, "🔁 Recontar Estoque", "✅ Dentro do Prazo")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Registro_Producao" displayName="tb_Registro_Producao" ref="A1:M1173" totalsRowShown="0" headerRowDxfId="15">
  <autoFilter ref="A1:M1173" xr:uid="{00000000-0009-0000-0100-000002000000}"/>
  <sortState xmlns:xlrd2="http://schemas.microsoft.com/office/spreadsheetml/2017/richdata2" ref="A1005:M1071">
    <sortCondition descending="1" ref="B1:B1173"/>
  </sortState>
  <tableColumns count="13">
    <tableColumn id="1" xr3:uid="{00000000-0010-0000-0100-000001000000}" name="DATA" dataDxfId="14"/>
    <tableColumn id="3" xr3:uid="{00000000-0010-0000-0100-000003000000}" name="PRODUTO"/>
    <tableColumn id="4" xr3:uid="{00000000-0010-0000-0100-000004000000}" name="Quantidade_Produzida_kg" dataDxfId="13"/>
    <tableColumn id="5" xr3:uid="{00000000-0010-0000-0100-000005000000}" name="Status"/>
    <tableColumn id="6" xr3:uid="{00000000-0010-0000-0100-000006000000}" name="QUALIDADE" dataDxfId="12"/>
    <tableColumn id="10" xr3:uid="{00000000-0010-0000-0100-00000A000000}" name="Hora_Inicio" dataDxfId="11"/>
    <tableColumn id="11" xr3:uid="{00000000-0010-0000-0100-00000B000000}" name="Hora_Fim" dataDxfId="10"/>
    <tableColumn id="12" xr3:uid="{00000000-0010-0000-0100-00000C000000}" name="Tempo_Total"/>
    <tableColumn id="2" xr3:uid="{20EC8E4C-C63E-4D74-9B91-F419BC11DFA6}" name="OBS" dataDxfId="9"/>
    <tableColumn id="7" xr3:uid="{76D13750-887F-49E9-AB73-B30E9D03C775}" name="tempo acumulado"/>
    <tableColumn id="8" xr3:uid="{8C856829-E255-49AC-801A-997582D9C544}" name="Min_por_Kg" dataDxfId="8">
      <calculatedColumnFormula>IF(AND(L2&lt;&gt;"",C2&gt;0),L2/C2,"")</calculatedColumnFormula>
    </tableColumn>
    <tableColumn id="9" xr3:uid="{ED4AA42E-9F81-4F58-9956-D1D980F178C1}" name="Tempo_Total_Min">
      <calculatedColumnFormula>IF(AND(D2="FINALIZADO",H2&lt;&gt;""),VALUE(LEFT(H2,FIND("h",H2)-1))*60+VALUE(MID(H2,FIND("h",H2)+2,FIND("min",H2)-FIND("h",H2)-2)),"")</calculatedColumnFormula>
    </tableColumn>
    <tableColumn id="13" xr3:uid="{A1B2C3D4-E5F6-4789-9ABC-DEF012345678}" name="Ano_Mes">
      <calculatedColumnFormula>TEXT(YEAR(A2),"0000")&amp;"-"&amp;TEXT(MONTH(A2),"00")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media_mensal" displayName="tb_media_mensal" ref="B1:D52" totalsRowShown="0">
  <autoFilter ref="B1:D52" xr:uid="{00000000-0009-0000-0100-000003000000}"/>
  <sortState xmlns:xlrd2="http://schemas.microsoft.com/office/spreadsheetml/2017/richdata2" ref="B2:D52">
    <sortCondition descending="1" ref="D1:D52"/>
  </sortState>
  <tableColumns count="3">
    <tableColumn id="1" xr3:uid="{00000000-0010-0000-0200-000001000000}" name="Primeira_produção" dataDxfId="28">
      <calculatedColumnFormula>IFERROR(_xlfn.MINIFS(tb_Registro_Producao[DATA],tb_Registro_Producao[PRODUTO],A2),"")</calculatedColumnFormula>
    </tableColumn>
    <tableColumn id="2" xr3:uid="{00000000-0010-0000-0200-000002000000}" name="TOTAL_PRODUZIDO" dataDxfId="27">
      <calculatedColumnFormula>SUMIFS(tb_Registro_Producao[Quantidade_Produzida_kg],tb_Registro_Producao[PRODUTO],A2)</calculatedColumnFormula>
    </tableColumn>
    <tableColumn id="3" xr3:uid="{00000000-0010-0000-0200-000003000000}" name="MEDIA_MENSAL" dataDxfId="26">
      <calculatedColumnFormula>IFERROR(C2/((YEAR(TODAY())-YEAR(B2))*12+MONTH(TODAY())-MONTH(B2)+1),0)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111111-1111-1111-1111-111111111111}" name="tb_Resumo_CRP" displayName="tb_Resumo_CRP" ref="A74:E78" totalsRowShown="0">
  <autoFilter ref="A74:E78" xr:uid="{22222222-2222-2222-2222-222222222222}"/>
  <tableColumns count="5">
    <tableColumn id="1" xr3:uid="{33333333-3333-3333-3333-333333333331}" name="REATOR"/>
    <tableColumn id="2" xr3:uid="{33333333-3333-3333-3333-333333333332}" name="HORAS_NECESSARIAS"/>
    <tableColumn id="3" xr3:uid="{33333333-3333-3333-3333-333333333333}" name="CAPACIDADE"/>
    <tableColumn id="4" xr3:uid="{33333333-3333-3333-3333-333333333334}" name="SALDO"/>
    <tableColumn id="5" xr3:uid="{33333333-3333-3333-3333-333333333335}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4" xr10:uid="{38CA51A1-E283-4865-B8F5-64DCCCD7B365}" sourceName="DATA">
  <pivotTables>
    <pivotTable tabId="3" name="Tabela dinâmica1"/>
  </pivotTables>
  <state minimalRefreshVersion="6" lastRefreshVersion="6" pivotCacheId="455852658" filterType="dateBetween">
    <selection startDate="2026-06-01T00:00:00" endDate="2026-06-30T00:00:00"/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E22E1179-DA93-4A45-941C-F0310DBF2838}" cache="NativeTimeline_DATA4" caption="DATA" level="2" selectionLevel="2" scrollPosition="2025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 tint="-0.249977111117893"/>
  </sheetPr>
  <dimension ref="A1:F26"/>
  <sheetViews>
    <sheetView showGridLines="0" workbookViewId="0">
      <selection activeCell="C5" sqref="C5"/>
    </sheetView>
  </sheetViews>
  <sheetFormatPr defaultRowHeight="15" x14ac:dyDescent="0.25"/>
  <cols>
    <col min="1" max="1" width="26.85546875" bestFit="1" customWidth="1"/>
    <col min="2" max="2" width="14.28515625" customWidth="1"/>
    <col min="3" max="3" width="25.7109375" bestFit="1" customWidth="1"/>
    <col min="4" max="4" width="15.28515625" style="7" customWidth="1"/>
    <col min="5" max="5" width="22.28515625" customWidth="1"/>
    <col min="7" max="7" width="20" bestFit="1" customWidth="1"/>
  </cols>
  <sheetData>
    <row r="1" spans="1:5" x14ac:dyDescent="0.25">
      <c r="A1" t="s">
        <v>75</v>
      </c>
      <c r="B1" t="s">
        <v>76</v>
      </c>
      <c r="C1" s="7" t="s">
        <v>77</v>
      </c>
      <c r="D1" s="7" t="s">
        <v>78</v>
      </c>
      <c r="E1" s="7" t="s">
        <v>79</v>
      </c>
    </row>
    <row r="2" spans="1:5" x14ac:dyDescent="0.25">
      <c r="A2" s="8" t="s">
        <v>37</v>
      </c>
      <c r="B2" s="10">
        <v>0</v>
      </c>
      <c r="D2" s="1">
        <v>46113</v>
      </c>
      <c r="E2" s="6" t="str">
        <f t="shared" ref="E2:E24" ca="1" si="0">IF(TODAY()-D2&gt;=4, "🔁 Recontar Estoque", "✅ Dentro do Prazo")</f>
        <v>🔁 Recontar Estoque</v>
      </c>
    </row>
    <row r="3" spans="1:5" x14ac:dyDescent="0.25">
      <c r="A3" s="9" t="s">
        <v>38</v>
      </c>
      <c r="B3" s="10">
        <v>390</v>
      </c>
      <c r="C3" s="13"/>
      <c r="D3" s="1">
        <v>46113</v>
      </c>
      <c r="E3" s="6" t="str">
        <f t="shared" ca="1" si="0"/>
        <v>🔁 Recontar Estoque</v>
      </c>
    </row>
    <row r="4" spans="1:5" x14ac:dyDescent="0.25">
      <c r="A4" s="9" t="s">
        <v>39</v>
      </c>
      <c r="B4" s="10">
        <v>98</v>
      </c>
      <c r="C4" s="13"/>
      <c r="D4" s="1">
        <v>46113</v>
      </c>
      <c r="E4" s="6" t="str">
        <f t="shared" ca="1" si="0"/>
        <v>🔁 Recontar Estoque</v>
      </c>
    </row>
    <row r="5" spans="1:5" x14ac:dyDescent="0.25">
      <c r="A5" s="9" t="s">
        <v>40</v>
      </c>
      <c r="B5" s="10">
        <v>1422</v>
      </c>
      <c r="C5" s="13" t="s">
        <v>80</v>
      </c>
      <c r="D5" s="1">
        <v>46105</v>
      </c>
      <c r="E5" s="6" t="str">
        <f t="shared" ca="1" si="0"/>
        <v>🔁 Recontar Estoque</v>
      </c>
    </row>
    <row r="6" spans="1:5" x14ac:dyDescent="0.25">
      <c r="A6" s="9" t="s">
        <v>41</v>
      </c>
      <c r="B6" s="10">
        <v>3900</v>
      </c>
      <c r="D6" s="1">
        <v>46108</v>
      </c>
      <c r="E6" s="6" t="str">
        <f t="shared" ca="1" si="0"/>
        <v>🔁 Recontar Estoque</v>
      </c>
    </row>
    <row r="7" spans="1:5" x14ac:dyDescent="0.25">
      <c r="A7" s="9" t="s">
        <v>42</v>
      </c>
      <c r="B7" s="10">
        <v>50</v>
      </c>
      <c r="D7" s="1">
        <v>46105</v>
      </c>
      <c r="E7" s="6" t="str">
        <f t="shared" ca="1" si="0"/>
        <v>🔁 Recontar Estoque</v>
      </c>
    </row>
    <row r="8" spans="1:5" x14ac:dyDescent="0.25">
      <c r="A8" s="9" t="s">
        <v>43</v>
      </c>
      <c r="B8" s="10">
        <v>0</v>
      </c>
      <c r="D8" s="1">
        <v>46105</v>
      </c>
      <c r="E8" s="6" t="str">
        <f t="shared" ca="1" si="0"/>
        <v>🔁 Recontar Estoque</v>
      </c>
    </row>
    <row r="9" spans="1:5" x14ac:dyDescent="0.25">
      <c r="A9" s="9" t="s">
        <v>44</v>
      </c>
      <c r="B9" s="10">
        <v>0</v>
      </c>
      <c r="D9" s="1">
        <v>46105</v>
      </c>
      <c r="E9" s="6" t="str">
        <f t="shared" ca="1" si="0"/>
        <v>🔁 Recontar Estoque</v>
      </c>
    </row>
    <row r="10" spans="1:5" x14ac:dyDescent="0.25">
      <c r="A10" s="9" t="s">
        <v>45</v>
      </c>
      <c r="B10" s="10">
        <v>320</v>
      </c>
      <c r="C10" s="13" t="s">
        <v>81</v>
      </c>
      <c r="D10" s="1">
        <v>46108</v>
      </c>
      <c r="E10" s="6" t="str">
        <f t="shared" ca="1" si="0"/>
        <v>🔁 Recontar Estoque</v>
      </c>
    </row>
    <row r="11" spans="1:5" x14ac:dyDescent="0.25">
      <c r="A11" s="9" t="s">
        <v>46</v>
      </c>
      <c r="B11" s="10">
        <v>0</v>
      </c>
      <c r="C11" s="13" t="s">
        <v>81</v>
      </c>
      <c r="D11" s="1">
        <v>46113</v>
      </c>
      <c r="E11" s="6" t="str">
        <f t="shared" ca="1" si="0"/>
        <v>🔁 Recontar Estoque</v>
      </c>
    </row>
    <row r="12" spans="1:5" x14ac:dyDescent="0.25">
      <c r="A12" s="9" t="s">
        <v>47</v>
      </c>
      <c r="B12" s="10">
        <v>25</v>
      </c>
      <c r="D12" s="1">
        <v>46113</v>
      </c>
      <c r="E12" s="6" t="str">
        <f t="shared" ca="1" si="0"/>
        <v>🔁 Recontar Estoque</v>
      </c>
    </row>
    <row r="13" spans="1:5" x14ac:dyDescent="0.25">
      <c r="A13" s="9" t="s">
        <v>48</v>
      </c>
      <c r="B13" s="10">
        <v>5200</v>
      </c>
      <c r="C13" s="12"/>
      <c r="D13" s="1">
        <v>46104</v>
      </c>
      <c r="E13" s="6" t="str">
        <f t="shared" ca="1" si="0"/>
        <v>🔁 Recontar Estoque</v>
      </c>
    </row>
    <row r="14" spans="1:5" x14ac:dyDescent="0.25">
      <c r="A14" s="9" t="s">
        <v>49</v>
      </c>
      <c r="B14" s="10">
        <v>2300</v>
      </c>
      <c r="C14" s="13" t="s">
        <v>82</v>
      </c>
      <c r="D14" s="1">
        <v>46105</v>
      </c>
      <c r="E14" s="6" t="str">
        <f t="shared" ca="1" si="0"/>
        <v>🔁 Recontar Estoque</v>
      </c>
    </row>
    <row r="15" spans="1:5" x14ac:dyDescent="0.25">
      <c r="A15" s="9" t="s">
        <v>50</v>
      </c>
      <c r="B15" s="10">
        <v>8820</v>
      </c>
      <c r="C15" s="12"/>
      <c r="D15" s="1">
        <v>46106</v>
      </c>
      <c r="E15" s="6" t="str">
        <f t="shared" ca="1" si="0"/>
        <v>🔁 Recontar Estoque</v>
      </c>
    </row>
    <row r="16" spans="1:5" x14ac:dyDescent="0.25">
      <c r="A16" s="9" t="s">
        <v>51</v>
      </c>
      <c r="B16" s="10">
        <v>3700</v>
      </c>
      <c r="C16" s="13" t="s">
        <v>81</v>
      </c>
      <c r="D16" s="1">
        <v>46105</v>
      </c>
      <c r="E16" s="6" t="str">
        <f t="shared" ca="1" si="0"/>
        <v>🔁 Recontar Estoque</v>
      </c>
    </row>
    <row r="17" spans="1:6" x14ac:dyDescent="0.25">
      <c r="A17" s="9" t="s">
        <v>52</v>
      </c>
      <c r="B17" s="10">
        <v>11385</v>
      </c>
      <c r="C17" s="13" t="s">
        <v>83</v>
      </c>
      <c r="D17" s="1">
        <v>46101</v>
      </c>
      <c r="E17" s="6" t="str">
        <f t="shared" ca="1" si="0"/>
        <v>🔁 Recontar Estoque</v>
      </c>
      <c r="F17" s="12"/>
    </row>
    <row r="18" spans="1:6" x14ac:dyDescent="0.25">
      <c r="A18" s="9" t="s">
        <v>53</v>
      </c>
      <c r="B18" s="10">
        <v>26000</v>
      </c>
      <c r="C18" s="13"/>
      <c r="D18" s="1">
        <v>46101</v>
      </c>
      <c r="E18" s="6" t="str">
        <f t="shared" ca="1" si="0"/>
        <v>🔁 Recontar Estoque</v>
      </c>
    </row>
    <row r="19" spans="1:6" x14ac:dyDescent="0.25">
      <c r="A19" s="9" t="s">
        <v>54</v>
      </c>
      <c r="B19" s="10">
        <v>11900</v>
      </c>
      <c r="C19" s="13"/>
      <c r="D19" s="1">
        <v>46113</v>
      </c>
      <c r="E19" s="6" t="str">
        <f t="shared" ca="1" si="0"/>
        <v>🔁 Recontar Estoque</v>
      </c>
    </row>
    <row r="20" spans="1:6" x14ac:dyDescent="0.25">
      <c r="A20" s="9" t="s">
        <v>55</v>
      </c>
      <c r="B20" s="10">
        <v>8500</v>
      </c>
      <c r="D20" s="1">
        <v>46084</v>
      </c>
      <c r="E20" s="6" t="str">
        <f t="shared" ca="1" si="0"/>
        <v>🔁 Recontar Estoque</v>
      </c>
    </row>
    <row r="21" spans="1:6" x14ac:dyDescent="0.25">
      <c r="A21" s="9" t="s">
        <v>56</v>
      </c>
      <c r="B21" s="10">
        <v>2800</v>
      </c>
      <c r="C21" s="13"/>
      <c r="D21" s="1">
        <v>46100</v>
      </c>
      <c r="E21" s="6" t="str">
        <f t="shared" ca="1" si="0"/>
        <v>🔁 Recontar Estoque</v>
      </c>
    </row>
    <row r="22" spans="1:6" x14ac:dyDescent="0.25">
      <c r="A22" s="9" t="s">
        <v>57</v>
      </c>
      <c r="B22" s="10">
        <v>42165</v>
      </c>
      <c r="C22" s="12"/>
      <c r="D22" s="1">
        <v>46093</v>
      </c>
      <c r="E22" s="6" t="str">
        <f t="shared" ca="1" si="0"/>
        <v>🔁 Recontar Estoque</v>
      </c>
    </row>
    <row r="23" spans="1:6" x14ac:dyDescent="0.25">
      <c r="A23" s="9" t="s">
        <v>58</v>
      </c>
      <c r="B23" s="10">
        <v>72500</v>
      </c>
      <c r="C23" s="12"/>
      <c r="D23" s="1">
        <v>46093</v>
      </c>
      <c r="E23" s="6" t="str">
        <f t="shared" ca="1" si="0"/>
        <v>🔁 Recontar Estoque</v>
      </c>
    </row>
    <row r="24" spans="1:6" x14ac:dyDescent="0.25">
      <c r="A24" s="9" t="s">
        <v>59</v>
      </c>
      <c r="B24" s="10">
        <v>39116</v>
      </c>
      <c r="D24" s="1">
        <v>46108</v>
      </c>
      <c r="E24" s="6" t="str">
        <f t="shared" ca="1" si="0"/>
        <v>🔁 Recontar Estoque</v>
      </c>
    </row>
    <row r="25" spans="1:6" x14ac:dyDescent="0.25">
      <c r="A25" s="9"/>
      <c r="D25" s="1"/>
      <c r="E25" s="6"/>
    </row>
    <row r="26" spans="1:6" x14ac:dyDescent="0.25">
      <c r="A26" s="9"/>
      <c r="D26" s="1"/>
      <c r="E26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158"/>
  <sheetViews>
    <sheetView showGridLines="0" tabSelected="1" topLeftCell="A1154" zoomScaleNormal="100" workbookViewId="0">
      <selection activeCell="H1170" sqref="H1170"/>
    </sheetView>
  </sheetViews>
  <sheetFormatPr defaultRowHeight="15" x14ac:dyDescent="0.25"/>
  <cols>
    <col min="1" max="1" width="15.5703125" style="1" customWidth="1"/>
    <col min="2" max="2" width="28.42578125" bestFit="1" customWidth="1"/>
    <col min="3" max="3" width="22.7109375" style="2" customWidth="1"/>
    <col min="4" max="4" width="15.5703125" customWidth="1"/>
    <col min="5" max="5" width="15.42578125" style="16" customWidth="1"/>
    <col min="6" max="6" width="24.7109375" style="16" hidden="1" customWidth="1"/>
    <col min="7" max="7" width="21.7109375" hidden="1" customWidth="1"/>
    <col min="8" max="8" width="10.7109375" customWidth="1"/>
    <col min="9" max="9" width="26.7109375" customWidth="1"/>
    <col min="10" max="10" width="9.5703125" hidden="1" customWidth="1"/>
    <col min="11" max="11" width="5.42578125" hidden="1" customWidth="1"/>
    <col min="12" max="12" width="19.7109375" hidden="1" customWidth="1"/>
    <col min="13" max="13" width="8" hidden="1" customWidth="1"/>
    <col min="14" max="14" width="9.140625" customWidth="1"/>
  </cols>
  <sheetData>
    <row r="1" spans="1:13" ht="15.75" customHeight="1" x14ac:dyDescent="0.25">
      <c r="A1" s="1" t="s">
        <v>78</v>
      </c>
      <c r="B1" t="s">
        <v>0</v>
      </c>
      <c r="C1" s="4" t="s">
        <v>84</v>
      </c>
      <c r="D1" s="3" t="s">
        <v>85</v>
      </c>
      <c r="E1" s="15" t="s">
        <v>157</v>
      </c>
      <c r="F1" s="3" t="s">
        <v>86</v>
      </c>
      <c r="G1" s="3" t="s">
        <v>87</v>
      </c>
      <c r="H1" s="3" t="s">
        <v>88</v>
      </c>
      <c r="I1" s="3" t="s">
        <v>77</v>
      </c>
      <c r="J1" s="14" t="s">
        <v>158</v>
      </c>
      <c r="K1" s="14" t="s">
        <v>167</v>
      </c>
      <c r="L1" s="14" t="s">
        <v>168</v>
      </c>
      <c r="M1" s="14" t="s">
        <v>214</v>
      </c>
    </row>
    <row r="2" spans="1:13" x14ac:dyDescent="0.25">
      <c r="A2" s="1">
        <v>45810</v>
      </c>
      <c r="B2" t="s">
        <v>34</v>
      </c>
      <c r="C2" s="2">
        <v>11800</v>
      </c>
      <c r="D2" t="s">
        <v>89</v>
      </c>
      <c r="E2" s="16" t="s">
        <v>90</v>
      </c>
      <c r="G2" s="7"/>
      <c r="I2" s="7"/>
      <c r="K2" t="str">
        <f t="shared" ref="K2:K65" si="0">IF(AND(L2&lt;&gt;"",C2&gt;0),L2/C2,"")</f>
        <v/>
      </c>
      <c r="L2" t="str">
        <f t="shared" ref="L2:L65" si="1">IF(AND(D2="FINALIZADO",H2&lt;&gt;""),VALUE(LEFT(H2,FIND("h",H2)-1))*60+VALUE(MID(H2,FIND("h",H2)+2,FIND("min",H2)-FIND("h",H2)-2)),"")</f>
        <v/>
      </c>
      <c r="M2" t="str">
        <f t="shared" ref="M2:M65" si="2">TEXT(YEAR(A2),"0000")&amp;"-"&amp;TEXT(MONTH(A2),"00")</f>
        <v>2025-06</v>
      </c>
    </row>
    <row r="3" spans="1:13" x14ac:dyDescent="0.25">
      <c r="A3" s="1">
        <v>45831</v>
      </c>
      <c r="B3" t="s">
        <v>20</v>
      </c>
      <c r="C3" s="2">
        <v>1000</v>
      </c>
      <c r="D3" t="s">
        <v>89</v>
      </c>
      <c r="E3" s="16" t="s">
        <v>90</v>
      </c>
      <c r="G3" s="7"/>
      <c r="I3" s="7"/>
      <c r="K3" t="str">
        <f t="shared" si="0"/>
        <v/>
      </c>
      <c r="L3" t="str">
        <f t="shared" si="1"/>
        <v/>
      </c>
      <c r="M3" t="str">
        <f t="shared" si="2"/>
        <v>2025-06</v>
      </c>
    </row>
    <row r="4" spans="1:13" x14ac:dyDescent="0.25">
      <c r="A4" s="1">
        <v>45832</v>
      </c>
      <c r="B4" t="s">
        <v>35</v>
      </c>
      <c r="C4" s="2">
        <v>10000</v>
      </c>
      <c r="D4" t="s">
        <v>89</v>
      </c>
      <c r="E4" s="16" t="s">
        <v>90</v>
      </c>
      <c r="G4" s="7"/>
      <c r="I4" s="7"/>
      <c r="K4" t="str">
        <f t="shared" si="0"/>
        <v/>
      </c>
      <c r="L4" t="str">
        <f t="shared" si="1"/>
        <v/>
      </c>
      <c r="M4" t="str">
        <f t="shared" si="2"/>
        <v>2025-06</v>
      </c>
    </row>
    <row r="5" spans="1:13" x14ac:dyDescent="0.25">
      <c r="A5" s="1">
        <v>45833</v>
      </c>
      <c r="B5" t="s">
        <v>33</v>
      </c>
      <c r="C5" s="2">
        <v>10300</v>
      </c>
      <c r="D5" t="s">
        <v>89</v>
      </c>
      <c r="E5" s="16" t="s">
        <v>90</v>
      </c>
      <c r="G5" s="7"/>
      <c r="I5" s="7"/>
      <c r="K5" t="str">
        <f t="shared" si="0"/>
        <v/>
      </c>
      <c r="L5" t="str">
        <f t="shared" si="1"/>
        <v/>
      </c>
      <c r="M5" t="str">
        <f t="shared" si="2"/>
        <v>2025-06</v>
      </c>
    </row>
    <row r="6" spans="1:13" x14ac:dyDescent="0.25">
      <c r="A6" s="1">
        <v>45835</v>
      </c>
      <c r="B6" t="s">
        <v>32</v>
      </c>
      <c r="C6" s="2">
        <v>9000</v>
      </c>
      <c r="D6" t="s">
        <v>89</v>
      </c>
      <c r="E6" s="16" t="s">
        <v>90</v>
      </c>
      <c r="G6" s="7"/>
      <c r="I6" s="7"/>
      <c r="K6" t="str">
        <f t="shared" si="0"/>
        <v/>
      </c>
      <c r="L6" t="str">
        <f t="shared" si="1"/>
        <v/>
      </c>
      <c r="M6" t="str">
        <f t="shared" si="2"/>
        <v>2025-06</v>
      </c>
    </row>
    <row r="7" spans="1:13" x14ac:dyDescent="0.25">
      <c r="A7" s="1">
        <v>45835</v>
      </c>
      <c r="B7" t="s">
        <v>14</v>
      </c>
      <c r="C7" s="2">
        <v>330</v>
      </c>
      <c r="D7" t="s">
        <v>89</v>
      </c>
      <c r="E7" s="16" t="s">
        <v>90</v>
      </c>
      <c r="G7" s="7"/>
      <c r="I7" s="7"/>
      <c r="K7" t="str">
        <f t="shared" si="0"/>
        <v/>
      </c>
      <c r="L7" t="str">
        <f t="shared" si="1"/>
        <v/>
      </c>
      <c r="M7" t="str">
        <f t="shared" si="2"/>
        <v>2025-06</v>
      </c>
    </row>
    <row r="8" spans="1:13" x14ac:dyDescent="0.25">
      <c r="A8" s="1">
        <v>45835</v>
      </c>
      <c r="B8" t="s">
        <v>91</v>
      </c>
      <c r="C8" s="2">
        <v>7750</v>
      </c>
      <c r="D8" t="s">
        <v>89</v>
      </c>
      <c r="E8" s="16" t="s">
        <v>90</v>
      </c>
      <c r="G8" s="7"/>
      <c r="I8" s="7"/>
      <c r="K8" t="str">
        <f t="shared" si="0"/>
        <v/>
      </c>
      <c r="L8" t="str">
        <f t="shared" si="1"/>
        <v/>
      </c>
      <c r="M8" t="str">
        <f t="shared" si="2"/>
        <v>2025-06</v>
      </c>
    </row>
    <row r="9" spans="1:13" x14ac:dyDescent="0.25">
      <c r="A9" s="1">
        <v>45838</v>
      </c>
      <c r="B9" t="s">
        <v>34</v>
      </c>
      <c r="C9" s="2">
        <v>13580</v>
      </c>
      <c r="D9" t="s">
        <v>89</v>
      </c>
      <c r="E9" s="16" t="s">
        <v>90</v>
      </c>
      <c r="G9" s="7"/>
      <c r="I9" s="7"/>
      <c r="K9" t="str">
        <f t="shared" si="0"/>
        <v/>
      </c>
      <c r="L9" t="str">
        <f t="shared" si="1"/>
        <v/>
      </c>
      <c r="M9" t="str">
        <f t="shared" si="2"/>
        <v>2025-06</v>
      </c>
    </row>
    <row r="10" spans="1:13" x14ac:dyDescent="0.25">
      <c r="A10" s="1">
        <v>45838</v>
      </c>
      <c r="B10" t="s">
        <v>26</v>
      </c>
      <c r="C10" s="2">
        <v>2100</v>
      </c>
      <c r="D10" t="s">
        <v>89</v>
      </c>
      <c r="E10" s="16" t="s">
        <v>90</v>
      </c>
      <c r="G10" s="7"/>
      <c r="I10" s="7"/>
      <c r="K10" t="str">
        <f t="shared" si="0"/>
        <v/>
      </c>
      <c r="L10" t="str">
        <f t="shared" si="1"/>
        <v/>
      </c>
      <c r="M10" t="str">
        <f t="shared" si="2"/>
        <v>2025-06</v>
      </c>
    </row>
    <row r="11" spans="1:13" x14ac:dyDescent="0.25">
      <c r="A11" s="1">
        <v>45838</v>
      </c>
      <c r="B11" t="s">
        <v>92</v>
      </c>
      <c r="C11" s="2">
        <v>1350</v>
      </c>
      <c r="D11" t="s">
        <v>89</v>
      </c>
      <c r="E11" s="16" t="s">
        <v>90</v>
      </c>
      <c r="G11" s="7"/>
      <c r="I11" s="7"/>
      <c r="K11" t="str">
        <f t="shared" si="0"/>
        <v/>
      </c>
      <c r="L11" t="str">
        <f t="shared" si="1"/>
        <v/>
      </c>
      <c r="M11" t="str">
        <f t="shared" si="2"/>
        <v>2025-06</v>
      </c>
    </row>
    <row r="12" spans="1:13" x14ac:dyDescent="0.25">
      <c r="A12" s="1">
        <v>45839</v>
      </c>
      <c r="B12" t="s">
        <v>32</v>
      </c>
      <c r="C12" s="2">
        <v>7000</v>
      </c>
      <c r="D12" t="s">
        <v>89</v>
      </c>
      <c r="E12" s="16" t="s">
        <v>90</v>
      </c>
      <c r="G12" s="7"/>
      <c r="I12" s="7"/>
      <c r="K12" t="str">
        <f t="shared" si="0"/>
        <v/>
      </c>
      <c r="L12" t="str">
        <f t="shared" si="1"/>
        <v/>
      </c>
      <c r="M12" t="str">
        <f t="shared" si="2"/>
        <v>2025-07</v>
      </c>
    </row>
    <row r="13" spans="1:13" x14ac:dyDescent="0.25">
      <c r="A13" s="1">
        <v>45839</v>
      </c>
      <c r="B13" t="s">
        <v>33</v>
      </c>
      <c r="C13" s="2">
        <v>10300</v>
      </c>
      <c r="D13" t="s">
        <v>89</v>
      </c>
      <c r="E13" s="16" t="s">
        <v>90</v>
      </c>
      <c r="G13" s="7"/>
      <c r="I13" s="7"/>
      <c r="K13" t="str">
        <f t="shared" si="0"/>
        <v/>
      </c>
      <c r="L13" t="str">
        <f t="shared" si="1"/>
        <v/>
      </c>
      <c r="M13" t="str">
        <f t="shared" si="2"/>
        <v>2025-07</v>
      </c>
    </row>
    <row r="14" spans="1:13" x14ac:dyDescent="0.25">
      <c r="A14" s="1">
        <v>45839</v>
      </c>
      <c r="B14" t="s">
        <v>92</v>
      </c>
      <c r="C14" s="2">
        <v>5400</v>
      </c>
      <c r="D14" t="s">
        <v>89</v>
      </c>
      <c r="E14" s="16" t="s">
        <v>90</v>
      </c>
      <c r="G14" s="7"/>
      <c r="I14" s="7"/>
      <c r="K14" t="str">
        <f t="shared" si="0"/>
        <v/>
      </c>
      <c r="L14" t="str">
        <f t="shared" si="1"/>
        <v/>
      </c>
      <c r="M14" t="str">
        <f t="shared" si="2"/>
        <v>2025-07</v>
      </c>
    </row>
    <row r="15" spans="1:13" x14ac:dyDescent="0.25">
      <c r="A15" s="1">
        <v>45839</v>
      </c>
      <c r="B15" t="s">
        <v>17</v>
      </c>
      <c r="C15" s="2">
        <v>600</v>
      </c>
      <c r="D15" t="s">
        <v>89</v>
      </c>
      <c r="E15" s="16" t="s">
        <v>90</v>
      </c>
      <c r="G15" s="7"/>
      <c r="I15" s="7"/>
      <c r="K15" t="str">
        <f t="shared" si="0"/>
        <v/>
      </c>
      <c r="L15" t="str">
        <f t="shared" si="1"/>
        <v/>
      </c>
      <c r="M15" t="str">
        <f t="shared" si="2"/>
        <v>2025-07</v>
      </c>
    </row>
    <row r="16" spans="1:13" x14ac:dyDescent="0.25">
      <c r="A16" s="1">
        <v>45839</v>
      </c>
      <c r="B16" t="s">
        <v>35</v>
      </c>
      <c r="C16" s="2">
        <v>10000</v>
      </c>
      <c r="D16" t="s">
        <v>89</v>
      </c>
      <c r="E16" s="16" t="s">
        <v>90</v>
      </c>
      <c r="G16" s="7"/>
      <c r="I16" s="7"/>
      <c r="K16" t="str">
        <f t="shared" si="0"/>
        <v/>
      </c>
      <c r="L16" t="str">
        <f t="shared" si="1"/>
        <v/>
      </c>
      <c r="M16" t="str">
        <f t="shared" si="2"/>
        <v>2025-07</v>
      </c>
    </row>
    <row r="17" spans="1:13" x14ac:dyDescent="0.25">
      <c r="A17" s="1">
        <v>45840</v>
      </c>
      <c r="B17" t="s">
        <v>92</v>
      </c>
      <c r="C17" s="2">
        <v>10800</v>
      </c>
      <c r="D17" t="s">
        <v>89</v>
      </c>
      <c r="E17" s="16" t="s">
        <v>90</v>
      </c>
      <c r="G17" s="7"/>
      <c r="I17" s="7"/>
      <c r="K17" t="str">
        <f t="shared" si="0"/>
        <v/>
      </c>
      <c r="L17" t="str">
        <f t="shared" si="1"/>
        <v/>
      </c>
      <c r="M17" t="str">
        <f t="shared" si="2"/>
        <v>2025-07</v>
      </c>
    </row>
    <row r="18" spans="1:13" x14ac:dyDescent="0.25">
      <c r="A18" s="1">
        <v>45840</v>
      </c>
      <c r="B18" t="s">
        <v>35</v>
      </c>
      <c r="C18" s="2">
        <v>10000</v>
      </c>
      <c r="D18" t="s">
        <v>89</v>
      </c>
      <c r="E18" s="16" t="s">
        <v>90</v>
      </c>
      <c r="G18" s="7"/>
      <c r="I18" s="7"/>
      <c r="K18" t="str">
        <f t="shared" si="0"/>
        <v/>
      </c>
      <c r="L18" t="str">
        <f t="shared" si="1"/>
        <v/>
      </c>
      <c r="M18" t="str">
        <f t="shared" si="2"/>
        <v>2025-07</v>
      </c>
    </row>
    <row r="19" spans="1:13" x14ac:dyDescent="0.25">
      <c r="A19" s="1">
        <v>45841</v>
      </c>
      <c r="B19" t="s">
        <v>29</v>
      </c>
      <c r="C19" s="2">
        <v>900</v>
      </c>
      <c r="D19" t="s">
        <v>89</v>
      </c>
      <c r="E19" s="16" t="s">
        <v>90</v>
      </c>
      <c r="G19" s="7"/>
      <c r="I19" s="7"/>
      <c r="K19" t="str">
        <f t="shared" si="0"/>
        <v/>
      </c>
      <c r="L19" t="str">
        <f t="shared" si="1"/>
        <v/>
      </c>
      <c r="M19" t="str">
        <f t="shared" si="2"/>
        <v>2025-07</v>
      </c>
    </row>
    <row r="20" spans="1:13" x14ac:dyDescent="0.25">
      <c r="A20" s="1">
        <v>45841</v>
      </c>
      <c r="B20" t="s">
        <v>92</v>
      </c>
      <c r="C20" s="2">
        <v>14200</v>
      </c>
      <c r="D20" t="s">
        <v>89</v>
      </c>
      <c r="E20" s="16" t="s">
        <v>90</v>
      </c>
      <c r="G20" s="7"/>
      <c r="I20" s="7"/>
      <c r="K20" t="str">
        <f t="shared" si="0"/>
        <v/>
      </c>
      <c r="L20" t="str">
        <f t="shared" si="1"/>
        <v/>
      </c>
      <c r="M20" t="str">
        <f t="shared" si="2"/>
        <v>2025-07</v>
      </c>
    </row>
    <row r="21" spans="1:13" x14ac:dyDescent="0.25">
      <c r="A21" s="1">
        <v>45841</v>
      </c>
      <c r="B21" t="s">
        <v>91</v>
      </c>
      <c r="C21" s="2">
        <v>4500</v>
      </c>
      <c r="D21" t="s">
        <v>89</v>
      </c>
      <c r="E21" s="16" t="s">
        <v>90</v>
      </c>
      <c r="G21" s="7"/>
      <c r="I21" s="7"/>
      <c r="K21" t="str">
        <f t="shared" si="0"/>
        <v/>
      </c>
      <c r="L21" t="str">
        <f t="shared" si="1"/>
        <v/>
      </c>
      <c r="M21" t="str">
        <f t="shared" si="2"/>
        <v>2025-07</v>
      </c>
    </row>
    <row r="22" spans="1:13" x14ac:dyDescent="0.25">
      <c r="A22" s="1">
        <v>45842</v>
      </c>
      <c r="B22" t="s">
        <v>33</v>
      </c>
      <c r="C22" s="2">
        <v>10300</v>
      </c>
      <c r="D22" t="s">
        <v>89</v>
      </c>
      <c r="E22" s="16" t="s">
        <v>90</v>
      </c>
      <c r="G22" s="7"/>
      <c r="I22" s="7"/>
      <c r="K22" t="str">
        <f t="shared" si="0"/>
        <v/>
      </c>
      <c r="L22" t="str">
        <f t="shared" si="1"/>
        <v/>
      </c>
      <c r="M22" t="str">
        <f t="shared" si="2"/>
        <v>2025-07</v>
      </c>
    </row>
    <row r="23" spans="1:13" x14ac:dyDescent="0.25">
      <c r="A23" s="1">
        <v>45842</v>
      </c>
      <c r="B23" t="s">
        <v>17</v>
      </c>
      <c r="C23" s="2">
        <v>400</v>
      </c>
      <c r="D23" t="s">
        <v>89</v>
      </c>
      <c r="E23" s="16" t="s">
        <v>90</v>
      </c>
      <c r="G23" s="7"/>
      <c r="I23" s="7"/>
      <c r="K23" t="str">
        <f t="shared" si="0"/>
        <v/>
      </c>
      <c r="L23" t="str">
        <f t="shared" si="1"/>
        <v/>
      </c>
      <c r="M23" t="str">
        <f t="shared" si="2"/>
        <v>2025-07</v>
      </c>
    </row>
    <row r="24" spans="1:13" x14ac:dyDescent="0.25">
      <c r="A24" s="1">
        <v>45842</v>
      </c>
      <c r="B24" t="s">
        <v>35</v>
      </c>
      <c r="C24" s="2">
        <v>10000</v>
      </c>
      <c r="D24" t="s">
        <v>89</v>
      </c>
      <c r="E24" s="16" t="s">
        <v>90</v>
      </c>
      <c r="G24" s="7"/>
      <c r="I24" s="7"/>
      <c r="K24" t="str">
        <f t="shared" si="0"/>
        <v/>
      </c>
      <c r="L24" t="str">
        <f t="shared" si="1"/>
        <v/>
      </c>
      <c r="M24" t="str">
        <f t="shared" si="2"/>
        <v>2025-07</v>
      </c>
    </row>
    <row r="25" spans="1:13" x14ac:dyDescent="0.25">
      <c r="A25" s="1">
        <v>45842</v>
      </c>
      <c r="B25" t="s">
        <v>91</v>
      </c>
      <c r="C25" s="2">
        <v>4500</v>
      </c>
      <c r="D25" t="s">
        <v>89</v>
      </c>
      <c r="E25" s="16" t="s">
        <v>90</v>
      </c>
      <c r="G25" s="7"/>
      <c r="I25" s="7"/>
      <c r="K25" t="str">
        <f t="shared" si="0"/>
        <v/>
      </c>
      <c r="L25" t="str">
        <f t="shared" si="1"/>
        <v/>
      </c>
      <c r="M25" t="str">
        <f t="shared" si="2"/>
        <v>2025-07</v>
      </c>
    </row>
    <row r="26" spans="1:13" x14ac:dyDescent="0.25">
      <c r="A26" s="1">
        <v>45845</v>
      </c>
      <c r="B26" t="s">
        <v>92</v>
      </c>
      <c r="C26" s="2">
        <v>17550</v>
      </c>
      <c r="D26" t="s">
        <v>89</v>
      </c>
      <c r="E26" s="16" t="s">
        <v>90</v>
      </c>
      <c r="G26" s="7"/>
      <c r="I26" s="7"/>
      <c r="K26" t="str">
        <f t="shared" si="0"/>
        <v/>
      </c>
      <c r="L26" t="str">
        <f t="shared" si="1"/>
        <v/>
      </c>
      <c r="M26" t="str">
        <f t="shared" si="2"/>
        <v>2025-07</v>
      </c>
    </row>
    <row r="27" spans="1:13" x14ac:dyDescent="0.25">
      <c r="A27" s="1">
        <v>45845</v>
      </c>
      <c r="B27" t="s">
        <v>35</v>
      </c>
      <c r="C27" s="2">
        <v>10000</v>
      </c>
      <c r="D27" t="s">
        <v>89</v>
      </c>
      <c r="E27" s="16" t="s">
        <v>90</v>
      </c>
      <c r="G27" s="7"/>
      <c r="I27" s="7"/>
      <c r="K27" t="str">
        <f t="shared" si="0"/>
        <v/>
      </c>
      <c r="L27" t="str">
        <f t="shared" si="1"/>
        <v/>
      </c>
      <c r="M27" t="str">
        <f t="shared" si="2"/>
        <v>2025-07</v>
      </c>
    </row>
    <row r="28" spans="1:13" x14ac:dyDescent="0.25">
      <c r="A28" s="1">
        <v>45845</v>
      </c>
      <c r="B28" t="s">
        <v>20</v>
      </c>
      <c r="C28" s="2">
        <v>1000</v>
      </c>
      <c r="D28" t="s">
        <v>89</v>
      </c>
      <c r="E28" s="16" t="s">
        <v>90</v>
      </c>
      <c r="G28" s="7"/>
      <c r="I28" s="7"/>
      <c r="K28" t="str">
        <f t="shared" si="0"/>
        <v/>
      </c>
      <c r="L28" t="str">
        <f t="shared" si="1"/>
        <v/>
      </c>
      <c r="M28" t="str">
        <f t="shared" si="2"/>
        <v>2025-07</v>
      </c>
    </row>
    <row r="29" spans="1:13" x14ac:dyDescent="0.25">
      <c r="A29" s="1">
        <v>45846</v>
      </c>
      <c r="B29" t="s">
        <v>93</v>
      </c>
      <c r="C29" s="2">
        <v>1400</v>
      </c>
      <c r="D29" t="s">
        <v>89</v>
      </c>
      <c r="E29" s="16" t="s">
        <v>90</v>
      </c>
      <c r="G29" s="7"/>
      <c r="I29" s="7"/>
      <c r="K29" t="str">
        <f t="shared" si="0"/>
        <v/>
      </c>
      <c r="L29" t="str">
        <f t="shared" si="1"/>
        <v/>
      </c>
      <c r="M29" t="str">
        <f t="shared" si="2"/>
        <v>2025-07</v>
      </c>
    </row>
    <row r="30" spans="1:13" x14ac:dyDescent="0.25">
      <c r="A30" s="1">
        <v>45846</v>
      </c>
      <c r="B30" t="s">
        <v>91</v>
      </c>
      <c r="C30" s="2">
        <v>15000</v>
      </c>
      <c r="D30" t="s">
        <v>89</v>
      </c>
      <c r="E30" s="16" t="s">
        <v>90</v>
      </c>
      <c r="G30" s="7"/>
      <c r="I30" s="7"/>
      <c r="K30" t="str">
        <f t="shared" si="0"/>
        <v/>
      </c>
      <c r="L30" t="str">
        <f t="shared" si="1"/>
        <v/>
      </c>
      <c r="M30" t="str">
        <f t="shared" si="2"/>
        <v>2025-07</v>
      </c>
    </row>
    <row r="31" spans="1:13" x14ac:dyDescent="0.25">
      <c r="A31" s="1">
        <v>45847</v>
      </c>
      <c r="B31" t="s">
        <v>94</v>
      </c>
      <c r="C31" s="2">
        <v>1000</v>
      </c>
      <c r="D31" t="s">
        <v>89</v>
      </c>
      <c r="E31" s="16" t="s">
        <v>90</v>
      </c>
      <c r="G31" s="7"/>
      <c r="I31" s="7"/>
      <c r="K31" t="str">
        <f t="shared" si="0"/>
        <v/>
      </c>
      <c r="L31" t="str">
        <f t="shared" si="1"/>
        <v/>
      </c>
      <c r="M31" t="str">
        <f t="shared" si="2"/>
        <v>2025-07</v>
      </c>
    </row>
    <row r="32" spans="1:13" x14ac:dyDescent="0.25">
      <c r="A32" s="1">
        <v>45847</v>
      </c>
      <c r="B32" t="s">
        <v>92</v>
      </c>
      <c r="C32" s="2">
        <v>4050</v>
      </c>
      <c r="D32" t="s">
        <v>89</v>
      </c>
      <c r="E32" s="16" t="s">
        <v>90</v>
      </c>
      <c r="G32" s="7"/>
      <c r="I32" s="7"/>
      <c r="K32" t="str">
        <f t="shared" si="0"/>
        <v/>
      </c>
      <c r="L32" t="str">
        <f t="shared" si="1"/>
        <v/>
      </c>
      <c r="M32" t="str">
        <f t="shared" si="2"/>
        <v>2025-07</v>
      </c>
    </row>
    <row r="33" spans="1:13" x14ac:dyDescent="0.25">
      <c r="A33" s="1">
        <v>45848</v>
      </c>
      <c r="B33" t="s">
        <v>95</v>
      </c>
      <c r="C33" s="2">
        <v>19200</v>
      </c>
      <c r="D33" t="s">
        <v>89</v>
      </c>
      <c r="E33" s="16" t="s">
        <v>90</v>
      </c>
      <c r="G33" s="7"/>
      <c r="I33" s="7"/>
      <c r="K33" t="str">
        <f t="shared" si="0"/>
        <v/>
      </c>
      <c r="L33" t="str">
        <f t="shared" si="1"/>
        <v/>
      </c>
      <c r="M33" t="str">
        <f t="shared" si="2"/>
        <v>2025-07</v>
      </c>
    </row>
    <row r="34" spans="1:13" x14ac:dyDescent="0.25">
      <c r="A34" s="1">
        <v>45848</v>
      </c>
      <c r="B34" t="s">
        <v>34</v>
      </c>
      <c r="C34" s="2">
        <v>9970</v>
      </c>
      <c r="D34" t="s">
        <v>89</v>
      </c>
      <c r="E34" s="16" t="s">
        <v>90</v>
      </c>
      <c r="G34" s="7"/>
      <c r="I34" s="7"/>
      <c r="K34" t="str">
        <f t="shared" si="0"/>
        <v/>
      </c>
      <c r="L34" t="str">
        <f t="shared" si="1"/>
        <v/>
      </c>
      <c r="M34" t="str">
        <f t="shared" si="2"/>
        <v>2025-07</v>
      </c>
    </row>
    <row r="35" spans="1:13" x14ac:dyDescent="0.25">
      <c r="A35" s="1">
        <v>45848</v>
      </c>
      <c r="B35" t="s">
        <v>26</v>
      </c>
      <c r="C35" s="2">
        <v>5040</v>
      </c>
      <c r="D35" t="s">
        <v>89</v>
      </c>
      <c r="E35" s="16" t="s">
        <v>90</v>
      </c>
      <c r="G35" s="7"/>
      <c r="I35" s="7"/>
      <c r="K35" t="str">
        <f t="shared" si="0"/>
        <v/>
      </c>
      <c r="L35" t="str">
        <f t="shared" si="1"/>
        <v/>
      </c>
      <c r="M35" t="str">
        <f t="shared" si="2"/>
        <v>2025-07</v>
      </c>
    </row>
    <row r="36" spans="1:13" x14ac:dyDescent="0.25">
      <c r="A36" s="1">
        <v>45848</v>
      </c>
      <c r="B36" t="s">
        <v>91</v>
      </c>
      <c r="C36" s="2">
        <v>1550</v>
      </c>
      <c r="D36" t="s">
        <v>89</v>
      </c>
      <c r="E36" s="16" t="s">
        <v>90</v>
      </c>
      <c r="G36" s="7"/>
      <c r="I36" s="7"/>
      <c r="K36" t="str">
        <f t="shared" si="0"/>
        <v/>
      </c>
      <c r="L36" t="str">
        <f t="shared" si="1"/>
        <v/>
      </c>
      <c r="M36" t="str">
        <f t="shared" si="2"/>
        <v>2025-07</v>
      </c>
    </row>
    <row r="37" spans="1:13" x14ac:dyDescent="0.25">
      <c r="A37" s="1">
        <v>45848</v>
      </c>
      <c r="B37" t="s">
        <v>91</v>
      </c>
      <c r="C37" s="2">
        <v>12000</v>
      </c>
      <c r="D37" t="s">
        <v>89</v>
      </c>
      <c r="E37" s="16" t="s">
        <v>90</v>
      </c>
      <c r="G37" s="7"/>
      <c r="I37" s="7"/>
      <c r="K37" t="str">
        <f t="shared" si="0"/>
        <v/>
      </c>
      <c r="L37" t="str">
        <f t="shared" si="1"/>
        <v/>
      </c>
      <c r="M37" t="str">
        <f t="shared" si="2"/>
        <v>2025-07</v>
      </c>
    </row>
    <row r="38" spans="1:13" x14ac:dyDescent="0.25">
      <c r="A38" s="1">
        <v>45849</v>
      </c>
      <c r="B38" t="s">
        <v>29</v>
      </c>
      <c r="C38" s="2">
        <v>3600</v>
      </c>
      <c r="D38" t="s">
        <v>89</v>
      </c>
      <c r="E38" s="16" t="s">
        <v>90</v>
      </c>
      <c r="G38" s="7"/>
      <c r="I38" s="7"/>
      <c r="K38" t="str">
        <f t="shared" si="0"/>
        <v/>
      </c>
      <c r="L38" t="str">
        <f t="shared" si="1"/>
        <v/>
      </c>
      <c r="M38" t="str">
        <f t="shared" si="2"/>
        <v>2025-07</v>
      </c>
    </row>
    <row r="39" spans="1:13" x14ac:dyDescent="0.25">
      <c r="A39" s="1">
        <v>45849</v>
      </c>
      <c r="B39" t="s">
        <v>33</v>
      </c>
      <c r="C39" s="2">
        <v>10300</v>
      </c>
      <c r="D39" t="s">
        <v>89</v>
      </c>
      <c r="E39" s="16" t="s">
        <v>90</v>
      </c>
      <c r="G39" s="7"/>
      <c r="I39" s="7"/>
      <c r="K39" t="str">
        <f t="shared" si="0"/>
        <v/>
      </c>
      <c r="L39" t="str">
        <f t="shared" si="1"/>
        <v/>
      </c>
      <c r="M39" t="str">
        <f t="shared" si="2"/>
        <v>2025-07</v>
      </c>
    </row>
    <row r="40" spans="1:13" x14ac:dyDescent="0.25">
      <c r="A40" s="1">
        <v>45849</v>
      </c>
      <c r="B40" t="s">
        <v>92</v>
      </c>
      <c r="C40" s="2">
        <v>5400</v>
      </c>
      <c r="D40" t="s">
        <v>89</v>
      </c>
      <c r="E40" s="16" t="s">
        <v>90</v>
      </c>
      <c r="G40" s="7"/>
      <c r="I40" s="7"/>
      <c r="K40" t="str">
        <f t="shared" si="0"/>
        <v/>
      </c>
      <c r="L40" t="str">
        <f t="shared" si="1"/>
        <v/>
      </c>
      <c r="M40" t="str">
        <f t="shared" si="2"/>
        <v>2025-07</v>
      </c>
    </row>
    <row r="41" spans="1:13" x14ac:dyDescent="0.25">
      <c r="A41" s="1">
        <v>45849</v>
      </c>
      <c r="B41" t="s">
        <v>92</v>
      </c>
      <c r="C41" s="2">
        <v>1350</v>
      </c>
      <c r="D41" t="s">
        <v>89</v>
      </c>
      <c r="E41" s="16" t="s">
        <v>90</v>
      </c>
      <c r="G41" s="7"/>
      <c r="I41" s="7"/>
      <c r="K41" t="str">
        <f t="shared" si="0"/>
        <v/>
      </c>
      <c r="L41" t="str">
        <f t="shared" si="1"/>
        <v/>
      </c>
      <c r="M41" t="str">
        <f t="shared" si="2"/>
        <v>2025-07</v>
      </c>
    </row>
    <row r="42" spans="1:13" x14ac:dyDescent="0.25">
      <c r="A42" s="1">
        <v>45849</v>
      </c>
      <c r="B42" t="s">
        <v>14</v>
      </c>
      <c r="C42" s="2">
        <v>330</v>
      </c>
      <c r="D42" t="s">
        <v>89</v>
      </c>
      <c r="E42" s="16" t="s">
        <v>90</v>
      </c>
      <c r="G42" s="7"/>
      <c r="I42" s="7"/>
      <c r="K42" t="str">
        <f t="shared" si="0"/>
        <v/>
      </c>
      <c r="L42" t="str">
        <f t="shared" si="1"/>
        <v/>
      </c>
      <c r="M42" t="str">
        <f t="shared" si="2"/>
        <v>2025-07</v>
      </c>
    </row>
    <row r="43" spans="1:13" x14ac:dyDescent="0.25">
      <c r="A43" s="1">
        <v>45849</v>
      </c>
      <c r="B43" t="s">
        <v>35</v>
      </c>
      <c r="C43" s="2">
        <v>10000</v>
      </c>
      <c r="D43" t="s">
        <v>89</v>
      </c>
      <c r="E43" s="16" t="s">
        <v>90</v>
      </c>
      <c r="G43" s="7"/>
      <c r="I43" s="7"/>
      <c r="K43" t="str">
        <f t="shared" si="0"/>
        <v/>
      </c>
      <c r="L43" t="str">
        <f t="shared" si="1"/>
        <v/>
      </c>
      <c r="M43" t="str">
        <f t="shared" si="2"/>
        <v>2025-07</v>
      </c>
    </row>
    <row r="44" spans="1:13" x14ac:dyDescent="0.25">
      <c r="A44" s="1">
        <v>45849</v>
      </c>
      <c r="B44" t="s">
        <v>9</v>
      </c>
      <c r="C44" s="2">
        <v>900</v>
      </c>
      <c r="D44" t="s">
        <v>89</v>
      </c>
      <c r="E44" s="16" t="s">
        <v>90</v>
      </c>
      <c r="G44" s="7"/>
      <c r="I44" s="7"/>
      <c r="K44" t="str">
        <f t="shared" si="0"/>
        <v/>
      </c>
      <c r="L44" t="str">
        <f t="shared" si="1"/>
        <v/>
      </c>
      <c r="M44" t="str">
        <f t="shared" si="2"/>
        <v>2025-07</v>
      </c>
    </row>
    <row r="45" spans="1:13" x14ac:dyDescent="0.25">
      <c r="A45" s="1">
        <v>45849</v>
      </c>
      <c r="B45" t="s">
        <v>91</v>
      </c>
      <c r="C45" s="2">
        <v>9000</v>
      </c>
      <c r="D45" t="s">
        <v>89</v>
      </c>
      <c r="E45" s="16" t="s">
        <v>90</v>
      </c>
      <c r="G45" s="7"/>
      <c r="I45" s="7"/>
      <c r="K45" t="str">
        <f t="shared" si="0"/>
        <v/>
      </c>
      <c r="L45" t="str">
        <f t="shared" si="1"/>
        <v/>
      </c>
      <c r="M45" t="str">
        <f t="shared" si="2"/>
        <v>2025-07</v>
      </c>
    </row>
    <row r="46" spans="1:13" x14ac:dyDescent="0.25">
      <c r="A46" s="1">
        <v>45852</v>
      </c>
      <c r="B46" t="s">
        <v>34</v>
      </c>
      <c r="C46" s="2">
        <v>16170</v>
      </c>
      <c r="D46" t="s">
        <v>89</v>
      </c>
      <c r="E46" s="16" t="s">
        <v>90</v>
      </c>
      <c r="G46" s="7"/>
      <c r="I46" s="7"/>
      <c r="K46" t="str">
        <f t="shared" si="0"/>
        <v/>
      </c>
      <c r="L46" t="str">
        <f t="shared" si="1"/>
        <v/>
      </c>
      <c r="M46" t="str">
        <f t="shared" si="2"/>
        <v>2025-07</v>
      </c>
    </row>
    <row r="47" spans="1:13" x14ac:dyDescent="0.25">
      <c r="A47" s="1">
        <v>45852</v>
      </c>
      <c r="B47" t="s">
        <v>31</v>
      </c>
      <c r="C47" s="2">
        <v>6000</v>
      </c>
      <c r="D47" t="s">
        <v>89</v>
      </c>
      <c r="E47" s="16" t="s">
        <v>90</v>
      </c>
      <c r="G47" s="7"/>
      <c r="I47" s="7"/>
      <c r="K47" t="str">
        <f t="shared" si="0"/>
        <v/>
      </c>
      <c r="L47" t="str">
        <f t="shared" si="1"/>
        <v/>
      </c>
      <c r="M47" t="str">
        <f t="shared" si="2"/>
        <v>2025-07</v>
      </c>
    </row>
    <row r="48" spans="1:13" x14ac:dyDescent="0.25">
      <c r="A48" s="1">
        <v>45852</v>
      </c>
      <c r="B48" t="s">
        <v>29</v>
      </c>
      <c r="C48" s="2">
        <v>900</v>
      </c>
      <c r="D48" t="s">
        <v>89</v>
      </c>
      <c r="E48" s="16" t="s">
        <v>90</v>
      </c>
      <c r="G48" s="7"/>
      <c r="I48" s="7"/>
      <c r="K48" t="str">
        <f t="shared" si="0"/>
        <v/>
      </c>
      <c r="L48" t="str">
        <f t="shared" si="1"/>
        <v/>
      </c>
      <c r="M48" t="str">
        <f t="shared" si="2"/>
        <v>2025-07</v>
      </c>
    </row>
    <row r="49" spans="1:13" x14ac:dyDescent="0.25">
      <c r="A49" s="1">
        <v>45852</v>
      </c>
      <c r="B49" t="s">
        <v>96</v>
      </c>
      <c r="C49" s="2">
        <v>1250</v>
      </c>
      <c r="D49" t="s">
        <v>89</v>
      </c>
      <c r="E49" s="16" t="s">
        <v>90</v>
      </c>
      <c r="G49" s="7"/>
      <c r="I49" s="7"/>
      <c r="K49" t="str">
        <f t="shared" si="0"/>
        <v/>
      </c>
      <c r="L49" t="str">
        <f t="shared" si="1"/>
        <v/>
      </c>
      <c r="M49" t="str">
        <f t="shared" si="2"/>
        <v>2025-07</v>
      </c>
    </row>
    <row r="50" spans="1:13" x14ac:dyDescent="0.25">
      <c r="A50" s="1">
        <v>45853</v>
      </c>
      <c r="B50" t="s">
        <v>33</v>
      </c>
      <c r="C50" s="2">
        <v>10600</v>
      </c>
      <c r="D50" t="s">
        <v>89</v>
      </c>
      <c r="E50" s="16" t="s">
        <v>90</v>
      </c>
      <c r="G50" s="7"/>
      <c r="I50" s="7"/>
      <c r="K50" t="str">
        <f t="shared" si="0"/>
        <v/>
      </c>
      <c r="L50" t="str">
        <f t="shared" si="1"/>
        <v/>
      </c>
      <c r="M50" t="str">
        <f t="shared" si="2"/>
        <v>2025-07</v>
      </c>
    </row>
    <row r="51" spans="1:13" x14ac:dyDescent="0.25">
      <c r="A51" s="1">
        <v>45853</v>
      </c>
      <c r="B51" t="s">
        <v>92</v>
      </c>
      <c r="C51" s="2">
        <v>4050</v>
      </c>
      <c r="D51" t="s">
        <v>89</v>
      </c>
      <c r="E51" s="16" t="s">
        <v>90</v>
      </c>
      <c r="G51" s="7"/>
      <c r="I51" s="7"/>
      <c r="K51" t="str">
        <f t="shared" si="0"/>
        <v/>
      </c>
      <c r="L51" t="str">
        <f t="shared" si="1"/>
        <v/>
      </c>
      <c r="M51" t="str">
        <f t="shared" si="2"/>
        <v>2025-07</v>
      </c>
    </row>
    <row r="52" spans="1:13" x14ac:dyDescent="0.25">
      <c r="A52" s="1">
        <v>45854</v>
      </c>
      <c r="B52" t="s">
        <v>34</v>
      </c>
      <c r="C52" s="2">
        <v>16170</v>
      </c>
      <c r="D52" t="s">
        <v>89</v>
      </c>
      <c r="E52" s="16" t="s">
        <v>90</v>
      </c>
      <c r="G52" s="7"/>
      <c r="I52" s="7"/>
      <c r="K52" t="str">
        <f t="shared" si="0"/>
        <v/>
      </c>
      <c r="L52" t="str">
        <f t="shared" si="1"/>
        <v/>
      </c>
      <c r="M52" t="str">
        <f t="shared" si="2"/>
        <v>2025-07</v>
      </c>
    </row>
    <row r="53" spans="1:13" x14ac:dyDescent="0.25">
      <c r="A53" s="1">
        <v>45854</v>
      </c>
      <c r="B53" t="s">
        <v>29</v>
      </c>
      <c r="C53" s="2">
        <v>3600</v>
      </c>
      <c r="D53" t="s">
        <v>89</v>
      </c>
      <c r="E53" s="16" t="s">
        <v>90</v>
      </c>
      <c r="G53" s="7"/>
      <c r="I53" s="7"/>
      <c r="K53" t="str">
        <f t="shared" si="0"/>
        <v/>
      </c>
      <c r="L53" t="str">
        <f t="shared" si="1"/>
        <v/>
      </c>
      <c r="M53" t="str">
        <f t="shared" si="2"/>
        <v>2025-07</v>
      </c>
    </row>
    <row r="54" spans="1:13" x14ac:dyDescent="0.25">
      <c r="A54" s="1">
        <v>45854</v>
      </c>
      <c r="B54" t="s">
        <v>92</v>
      </c>
      <c r="C54" s="2">
        <v>2700</v>
      </c>
      <c r="D54" t="s">
        <v>89</v>
      </c>
      <c r="E54" s="16" t="s">
        <v>90</v>
      </c>
      <c r="G54" s="7"/>
      <c r="I54" s="7"/>
      <c r="K54" t="str">
        <f t="shared" si="0"/>
        <v/>
      </c>
      <c r="L54" t="str">
        <f t="shared" si="1"/>
        <v/>
      </c>
      <c r="M54" t="str">
        <f t="shared" si="2"/>
        <v>2025-07</v>
      </c>
    </row>
    <row r="55" spans="1:13" x14ac:dyDescent="0.25">
      <c r="A55" s="1">
        <v>45854</v>
      </c>
      <c r="B55" t="s">
        <v>91</v>
      </c>
      <c r="C55" s="2">
        <v>15000</v>
      </c>
      <c r="D55" t="s">
        <v>89</v>
      </c>
      <c r="E55" s="16" t="s">
        <v>90</v>
      </c>
      <c r="G55" s="7"/>
      <c r="I55" s="7"/>
      <c r="K55" t="str">
        <f t="shared" si="0"/>
        <v/>
      </c>
      <c r="L55" t="str">
        <f t="shared" si="1"/>
        <v/>
      </c>
      <c r="M55" t="str">
        <f t="shared" si="2"/>
        <v>2025-07</v>
      </c>
    </row>
    <row r="56" spans="1:13" x14ac:dyDescent="0.25">
      <c r="A56" s="1">
        <v>45855</v>
      </c>
      <c r="B56" t="s">
        <v>32</v>
      </c>
      <c r="C56" s="2">
        <v>1100</v>
      </c>
      <c r="D56" t="s">
        <v>89</v>
      </c>
      <c r="E56" s="16" t="s">
        <v>90</v>
      </c>
      <c r="G56" s="7"/>
      <c r="I56" s="7"/>
      <c r="K56" t="str">
        <f t="shared" si="0"/>
        <v/>
      </c>
      <c r="L56" t="str">
        <f t="shared" si="1"/>
        <v/>
      </c>
      <c r="M56" t="str">
        <f t="shared" si="2"/>
        <v>2025-07</v>
      </c>
    </row>
    <row r="57" spans="1:13" x14ac:dyDescent="0.25">
      <c r="A57" s="1">
        <v>45855</v>
      </c>
      <c r="B57" t="s">
        <v>92</v>
      </c>
      <c r="C57" s="2">
        <v>10800</v>
      </c>
      <c r="D57" t="s">
        <v>89</v>
      </c>
      <c r="E57" s="16" t="s">
        <v>90</v>
      </c>
      <c r="G57" s="7"/>
      <c r="I57" s="7"/>
      <c r="K57" t="str">
        <f t="shared" si="0"/>
        <v/>
      </c>
      <c r="L57" t="str">
        <f t="shared" si="1"/>
        <v/>
      </c>
      <c r="M57" t="str">
        <f t="shared" si="2"/>
        <v>2025-07</v>
      </c>
    </row>
    <row r="58" spans="1:13" x14ac:dyDescent="0.25">
      <c r="A58" s="1">
        <v>45855</v>
      </c>
      <c r="B58" t="s">
        <v>24</v>
      </c>
      <c r="C58" s="2">
        <v>4000</v>
      </c>
      <c r="D58" t="s">
        <v>89</v>
      </c>
      <c r="E58" s="16" t="s">
        <v>90</v>
      </c>
      <c r="G58" s="7"/>
      <c r="I58" s="7"/>
      <c r="K58" t="str">
        <f t="shared" si="0"/>
        <v/>
      </c>
      <c r="L58" t="str">
        <f t="shared" si="1"/>
        <v/>
      </c>
      <c r="M58" t="str">
        <f t="shared" si="2"/>
        <v>2025-07</v>
      </c>
    </row>
    <row r="59" spans="1:13" x14ac:dyDescent="0.25">
      <c r="A59" s="1">
        <v>45855</v>
      </c>
      <c r="B59" t="s">
        <v>91</v>
      </c>
      <c r="C59" s="2">
        <v>12400</v>
      </c>
      <c r="D59" t="s">
        <v>89</v>
      </c>
      <c r="E59" s="16" t="s">
        <v>90</v>
      </c>
      <c r="G59" s="7"/>
      <c r="I59" s="7"/>
      <c r="K59" t="str">
        <f t="shared" si="0"/>
        <v/>
      </c>
      <c r="L59" t="str">
        <f t="shared" si="1"/>
        <v/>
      </c>
      <c r="M59" t="str">
        <f t="shared" si="2"/>
        <v>2025-07</v>
      </c>
    </row>
    <row r="60" spans="1:13" x14ac:dyDescent="0.25">
      <c r="A60" s="1">
        <v>45856</v>
      </c>
      <c r="B60" t="s">
        <v>92</v>
      </c>
      <c r="C60" s="2">
        <v>2800</v>
      </c>
      <c r="D60" t="s">
        <v>89</v>
      </c>
      <c r="E60" s="16" t="s">
        <v>90</v>
      </c>
      <c r="G60" s="7"/>
      <c r="I60" s="7"/>
      <c r="K60" t="str">
        <f t="shared" si="0"/>
        <v/>
      </c>
      <c r="L60" t="str">
        <f t="shared" si="1"/>
        <v/>
      </c>
      <c r="M60" t="str">
        <f t="shared" si="2"/>
        <v>2025-07</v>
      </c>
    </row>
    <row r="61" spans="1:13" x14ac:dyDescent="0.25">
      <c r="A61" s="1">
        <v>45856</v>
      </c>
      <c r="B61" t="s">
        <v>92</v>
      </c>
      <c r="C61" s="2">
        <v>4050</v>
      </c>
      <c r="D61" t="s">
        <v>89</v>
      </c>
      <c r="E61" s="16" t="s">
        <v>90</v>
      </c>
      <c r="G61" s="7"/>
      <c r="I61" s="7"/>
      <c r="K61" t="str">
        <f t="shared" si="0"/>
        <v/>
      </c>
      <c r="L61" t="str">
        <f t="shared" si="1"/>
        <v/>
      </c>
      <c r="M61" t="str">
        <f t="shared" si="2"/>
        <v>2025-07</v>
      </c>
    </row>
    <row r="62" spans="1:13" x14ac:dyDescent="0.25">
      <c r="A62" s="1">
        <v>45856</v>
      </c>
      <c r="B62" t="s">
        <v>35</v>
      </c>
      <c r="C62" s="2">
        <v>10000</v>
      </c>
      <c r="D62" t="s">
        <v>89</v>
      </c>
      <c r="E62" s="16" t="s">
        <v>90</v>
      </c>
      <c r="G62" s="7"/>
      <c r="I62" s="7"/>
      <c r="K62" t="str">
        <f t="shared" si="0"/>
        <v/>
      </c>
      <c r="L62" t="str">
        <f t="shared" si="1"/>
        <v/>
      </c>
      <c r="M62" t="str">
        <f t="shared" si="2"/>
        <v>2025-07</v>
      </c>
    </row>
    <row r="63" spans="1:13" x14ac:dyDescent="0.25">
      <c r="A63" s="1">
        <v>45857</v>
      </c>
      <c r="B63" t="s">
        <v>92</v>
      </c>
      <c r="C63" s="2">
        <v>2800</v>
      </c>
      <c r="D63" t="s">
        <v>89</v>
      </c>
      <c r="E63" s="16" t="s">
        <v>90</v>
      </c>
      <c r="G63" s="7"/>
      <c r="I63" s="7"/>
      <c r="K63" t="str">
        <f t="shared" si="0"/>
        <v/>
      </c>
      <c r="L63" t="str">
        <f t="shared" si="1"/>
        <v/>
      </c>
      <c r="M63" t="str">
        <f t="shared" si="2"/>
        <v>2025-07</v>
      </c>
    </row>
    <row r="64" spans="1:13" x14ac:dyDescent="0.25">
      <c r="A64" s="1">
        <v>45859</v>
      </c>
      <c r="B64" t="s">
        <v>32</v>
      </c>
      <c r="C64" s="2">
        <v>7000</v>
      </c>
      <c r="D64" t="s">
        <v>89</v>
      </c>
      <c r="E64" s="16" t="s">
        <v>90</v>
      </c>
      <c r="G64" s="7"/>
      <c r="I64" s="7"/>
      <c r="K64" t="str">
        <f t="shared" si="0"/>
        <v/>
      </c>
      <c r="L64" t="str">
        <f t="shared" si="1"/>
        <v/>
      </c>
      <c r="M64" t="str">
        <f t="shared" si="2"/>
        <v>2025-07</v>
      </c>
    </row>
    <row r="65" spans="1:13" x14ac:dyDescent="0.25">
      <c r="A65" s="1">
        <v>45859</v>
      </c>
      <c r="B65" t="s">
        <v>33</v>
      </c>
      <c r="C65" s="2">
        <v>10300</v>
      </c>
      <c r="D65" t="s">
        <v>89</v>
      </c>
      <c r="E65" s="16" t="s">
        <v>90</v>
      </c>
      <c r="G65" s="7"/>
      <c r="I65" s="7"/>
      <c r="K65" t="str">
        <f t="shared" si="0"/>
        <v/>
      </c>
      <c r="L65" t="str">
        <f t="shared" si="1"/>
        <v/>
      </c>
      <c r="M65" t="str">
        <f t="shared" si="2"/>
        <v>2025-07</v>
      </c>
    </row>
    <row r="66" spans="1:13" x14ac:dyDescent="0.25">
      <c r="A66" s="1">
        <v>45859</v>
      </c>
      <c r="B66" t="s">
        <v>91</v>
      </c>
      <c r="C66" s="2">
        <v>9000</v>
      </c>
      <c r="D66" t="s">
        <v>89</v>
      </c>
      <c r="E66" s="16" t="s">
        <v>90</v>
      </c>
      <c r="G66" s="7"/>
      <c r="I66" s="7"/>
      <c r="K66" t="str">
        <f t="shared" ref="K66:K129" si="3">IF(AND(L66&lt;&gt;"",C66&gt;0),L66/C66,"")</f>
        <v/>
      </c>
      <c r="L66" t="str">
        <f t="shared" ref="L66:L129" si="4">IF(AND(D66="FINALIZADO",H66&lt;&gt;""),VALUE(LEFT(H66,FIND("h",H66)-1))*60+VALUE(MID(H66,FIND("h",H66)+2,FIND("min",H66)-FIND("h",H66)-2)),"")</f>
        <v/>
      </c>
      <c r="M66" t="str">
        <f t="shared" ref="M66:M129" si="5">TEXT(YEAR(A66),"0000")&amp;"-"&amp;TEXT(MONTH(A66),"00")</f>
        <v>2025-07</v>
      </c>
    </row>
    <row r="67" spans="1:13" x14ac:dyDescent="0.25">
      <c r="A67" s="1">
        <v>45860</v>
      </c>
      <c r="B67" t="s">
        <v>34</v>
      </c>
      <c r="C67" s="2">
        <v>12300</v>
      </c>
      <c r="D67" t="s">
        <v>89</v>
      </c>
      <c r="E67" s="16" t="s">
        <v>90</v>
      </c>
      <c r="G67" s="7"/>
      <c r="I67" s="7"/>
      <c r="K67" t="str">
        <f t="shared" si="3"/>
        <v/>
      </c>
      <c r="L67" t="str">
        <f t="shared" si="4"/>
        <v/>
      </c>
      <c r="M67" t="str">
        <f t="shared" si="5"/>
        <v>2025-07</v>
      </c>
    </row>
    <row r="68" spans="1:13" x14ac:dyDescent="0.25">
      <c r="A68" s="1">
        <v>45860</v>
      </c>
      <c r="B68" t="s">
        <v>26</v>
      </c>
      <c r="C68" s="2">
        <v>3150</v>
      </c>
      <c r="D68" t="s">
        <v>89</v>
      </c>
      <c r="E68" s="16" t="s">
        <v>90</v>
      </c>
      <c r="G68" s="7"/>
      <c r="I68" s="7"/>
      <c r="K68" t="str">
        <f t="shared" si="3"/>
        <v/>
      </c>
      <c r="L68" t="str">
        <f t="shared" si="4"/>
        <v/>
      </c>
      <c r="M68" t="str">
        <f t="shared" si="5"/>
        <v>2025-07</v>
      </c>
    </row>
    <row r="69" spans="1:13" x14ac:dyDescent="0.25">
      <c r="A69" s="1">
        <v>45860</v>
      </c>
      <c r="B69" t="s">
        <v>33</v>
      </c>
      <c r="C69" s="2">
        <v>10300</v>
      </c>
      <c r="D69" t="s">
        <v>89</v>
      </c>
      <c r="E69" s="16" t="s">
        <v>90</v>
      </c>
      <c r="G69" s="7"/>
      <c r="I69" s="7"/>
      <c r="K69" t="str">
        <f t="shared" si="3"/>
        <v/>
      </c>
      <c r="L69" t="str">
        <f t="shared" si="4"/>
        <v/>
      </c>
      <c r="M69" t="str">
        <f t="shared" si="5"/>
        <v>2025-07</v>
      </c>
    </row>
    <row r="70" spans="1:13" x14ac:dyDescent="0.25">
      <c r="A70" s="1">
        <v>45860</v>
      </c>
      <c r="B70" t="s">
        <v>92</v>
      </c>
      <c r="C70" s="2">
        <v>8100</v>
      </c>
      <c r="D70" t="s">
        <v>89</v>
      </c>
      <c r="E70" s="16" t="s">
        <v>90</v>
      </c>
      <c r="G70" s="7"/>
      <c r="I70" s="7"/>
      <c r="K70" t="str">
        <f t="shared" si="3"/>
        <v/>
      </c>
      <c r="L70" t="str">
        <f t="shared" si="4"/>
        <v/>
      </c>
      <c r="M70" t="str">
        <f t="shared" si="5"/>
        <v>2025-07</v>
      </c>
    </row>
    <row r="71" spans="1:13" x14ac:dyDescent="0.25">
      <c r="A71" s="1">
        <v>45860</v>
      </c>
      <c r="B71" t="s">
        <v>35</v>
      </c>
      <c r="C71" s="2">
        <v>10000</v>
      </c>
      <c r="D71" t="s">
        <v>89</v>
      </c>
      <c r="E71" s="16" t="s">
        <v>90</v>
      </c>
      <c r="G71" s="7"/>
      <c r="I71" s="7"/>
      <c r="K71" t="str">
        <f t="shared" si="3"/>
        <v/>
      </c>
      <c r="L71" t="str">
        <f t="shared" si="4"/>
        <v/>
      </c>
      <c r="M71" t="str">
        <f t="shared" si="5"/>
        <v>2025-07</v>
      </c>
    </row>
    <row r="72" spans="1:13" x14ac:dyDescent="0.25">
      <c r="A72" s="1">
        <v>45860</v>
      </c>
      <c r="B72" t="s">
        <v>20</v>
      </c>
      <c r="C72" s="2">
        <v>1000</v>
      </c>
      <c r="D72" t="s">
        <v>89</v>
      </c>
      <c r="E72" s="16" t="s">
        <v>90</v>
      </c>
      <c r="G72" s="7"/>
      <c r="I72" s="7"/>
      <c r="K72" t="str">
        <f t="shared" si="3"/>
        <v/>
      </c>
      <c r="L72" t="str">
        <f t="shared" si="4"/>
        <v/>
      </c>
      <c r="M72" t="str">
        <f t="shared" si="5"/>
        <v>2025-07</v>
      </c>
    </row>
    <row r="73" spans="1:13" x14ac:dyDescent="0.25">
      <c r="A73" s="1">
        <v>45861</v>
      </c>
      <c r="B73" t="s">
        <v>96</v>
      </c>
      <c r="C73" s="2">
        <v>2250</v>
      </c>
      <c r="D73" t="s">
        <v>89</v>
      </c>
      <c r="E73" s="16" t="s">
        <v>90</v>
      </c>
      <c r="G73" s="7"/>
      <c r="I73" s="7"/>
      <c r="K73" t="str">
        <f t="shared" si="3"/>
        <v/>
      </c>
      <c r="L73" t="str">
        <f t="shared" si="4"/>
        <v/>
      </c>
      <c r="M73" t="str">
        <f t="shared" si="5"/>
        <v>2025-07</v>
      </c>
    </row>
    <row r="74" spans="1:13" x14ac:dyDescent="0.25">
      <c r="A74" s="1">
        <v>45861</v>
      </c>
      <c r="B74" t="s">
        <v>92</v>
      </c>
      <c r="C74" s="2">
        <v>1300</v>
      </c>
      <c r="D74" t="s">
        <v>89</v>
      </c>
      <c r="E74" s="16" t="s">
        <v>90</v>
      </c>
      <c r="G74" s="7"/>
      <c r="I74" s="7"/>
      <c r="K74" t="str">
        <f t="shared" si="3"/>
        <v/>
      </c>
      <c r="L74" t="str">
        <f t="shared" si="4"/>
        <v/>
      </c>
      <c r="M74" t="str">
        <f t="shared" si="5"/>
        <v>2025-07</v>
      </c>
    </row>
    <row r="75" spans="1:13" x14ac:dyDescent="0.25">
      <c r="A75" s="1">
        <v>45861</v>
      </c>
      <c r="B75" t="s">
        <v>24</v>
      </c>
      <c r="C75" s="2">
        <v>15000</v>
      </c>
      <c r="D75" t="s">
        <v>89</v>
      </c>
      <c r="E75" s="16" t="s">
        <v>90</v>
      </c>
      <c r="G75" s="7"/>
      <c r="I75" s="7"/>
      <c r="K75" t="str">
        <f t="shared" si="3"/>
        <v/>
      </c>
      <c r="L75" t="str">
        <f t="shared" si="4"/>
        <v/>
      </c>
      <c r="M75" t="str">
        <f t="shared" si="5"/>
        <v>2025-07</v>
      </c>
    </row>
    <row r="76" spans="1:13" x14ac:dyDescent="0.25">
      <c r="A76" s="1">
        <v>45862</v>
      </c>
      <c r="B76" t="s">
        <v>32</v>
      </c>
      <c r="C76" s="2">
        <v>5000</v>
      </c>
      <c r="D76" t="s">
        <v>89</v>
      </c>
      <c r="E76" s="16" t="s">
        <v>90</v>
      </c>
      <c r="G76" s="7"/>
      <c r="I76" s="7"/>
      <c r="K76" t="str">
        <f t="shared" si="3"/>
        <v/>
      </c>
      <c r="L76" t="str">
        <f t="shared" si="4"/>
        <v/>
      </c>
      <c r="M76" t="str">
        <f t="shared" si="5"/>
        <v>2025-07</v>
      </c>
    </row>
    <row r="77" spans="1:13" x14ac:dyDescent="0.25">
      <c r="A77" s="1">
        <v>45862</v>
      </c>
      <c r="B77" t="s">
        <v>96</v>
      </c>
      <c r="C77" s="2">
        <v>1250</v>
      </c>
      <c r="D77" t="s">
        <v>89</v>
      </c>
      <c r="E77" s="16" t="s">
        <v>90</v>
      </c>
      <c r="G77" s="7"/>
      <c r="I77" s="7"/>
      <c r="K77" t="str">
        <f t="shared" si="3"/>
        <v/>
      </c>
      <c r="L77" t="str">
        <f t="shared" si="4"/>
        <v/>
      </c>
      <c r="M77" t="str">
        <f t="shared" si="5"/>
        <v>2025-07</v>
      </c>
    </row>
    <row r="78" spans="1:13" x14ac:dyDescent="0.25">
      <c r="A78" s="1">
        <v>45862</v>
      </c>
      <c r="B78" t="s">
        <v>92</v>
      </c>
      <c r="C78" s="2">
        <v>5400</v>
      </c>
      <c r="D78" t="s">
        <v>89</v>
      </c>
      <c r="E78" s="16" t="s">
        <v>90</v>
      </c>
      <c r="G78" s="7"/>
      <c r="I78" s="7"/>
      <c r="K78" t="str">
        <f t="shared" si="3"/>
        <v/>
      </c>
      <c r="L78" t="str">
        <f t="shared" si="4"/>
        <v/>
      </c>
      <c r="M78" t="str">
        <f t="shared" si="5"/>
        <v>2025-07</v>
      </c>
    </row>
    <row r="79" spans="1:13" x14ac:dyDescent="0.25">
      <c r="A79" s="1">
        <v>45862</v>
      </c>
      <c r="B79" t="s">
        <v>91</v>
      </c>
      <c r="C79" s="2">
        <v>1500</v>
      </c>
      <c r="D79" t="s">
        <v>89</v>
      </c>
      <c r="E79" s="16" t="s">
        <v>90</v>
      </c>
      <c r="G79" s="7"/>
      <c r="I79" s="7"/>
      <c r="K79" t="str">
        <f t="shared" si="3"/>
        <v/>
      </c>
      <c r="L79" t="str">
        <f t="shared" si="4"/>
        <v/>
      </c>
      <c r="M79" t="str">
        <f t="shared" si="5"/>
        <v>2025-07</v>
      </c>
    </row>
    <row r="80" spans="1:13" x14ac:dyDescent="0.25">
      <c r="A80" s="1">
        <v>45862</v>
      </c>
      <c r="B80" t="s">
        <v>91</v>
      </c>
      <c r="C80" s="2">
        <v>4650</v>
      </c>
      <c r="D80" t="s">
        <v>89</v>
      </c>
      <c r="E80" s="16" t="s">
        <v>90</v>
      </c>
      <c r="G80" s="7"/>
      <c r="I80" s="7"/>
      <c r="K80" t="str">
        <f t="shared" si="3"/>
        <v/>
      </c>
      <c r="L80" t="str">
        <f t="shared" si="4"/>
        <v/>
      </c>
      <c r="M80" t="str">
        <f t="shared" si="5"/>
        <v>2025-07</v>
      </c>
    </row>
    <row r="81" spans="1:13" x14ac:dyDescent="0.25">
      <c r="A81" s="1">
        <v>45863</v>
      </c>
      <c r="B81" t="s">
        <v>95</v>
      </c>
      <c r="C81" s="2">
        <v>16000</v>
      </c>
      <c r="D81" t="s">
        <v>89</v>
      </c>
      <c r="E81" s="16" t="s">
        <v>90</v>
      </c>
      <c r="G81" s="7"/>
      <c r="I81" s="7"/>
      <c r="K81" t="str">
        <f t="shared" si="3"/>
        <v/>
      </c>
      <c r="L81" t="str">
        <f t="shared" si="4"/>
        <v/>
      </c>
      <c r="M81" t="str">
        <f t="shared" si="5"/>
        <v>2025-07</v>
      </c>
    </row>
    <row r="82" spans="1:13" x14ac:dyDescent="0.25">
      <c r="A82" s="1">
        <v>45863</v>
      </c>
      <c r="B82" t="s">
        <v>92</v>
      </c>
      <c r="C82" s="2">
        <v>2700</v>
      </c>
      <c r="D82" t="s">
        <v>89</v>
      </c>
      <c r="E82" s="16" t="s">
        <v>90</v>
      </c>
      <c r="G82" s="7"/>
      <c r="I82" s="7"/>
      <c r="K82" t="str">
        <f t="shared" si="3"/>
        <v/>
      </c>
      <c r="L82" t="str">
        <f t="shared" si="4"/>
        <v/>
      </c>
      <c r="M82" t="str">
        <f t="shared" si="5"/>
        <v>2025-07</v>
      </c>
    </row>
    <row r="83" spans="1:13" x14ac:dyDescent="0.25">
      <c r="A83" s="1">
        <v>45863</v>
      </c>
      <c r="B83" t="s">
        <v>5</v>
      </c>
      <c r="C83" s="2">
        <v>400</v>
      </c>
      <c r="D83" t="s">
        <v>89</v>
      </c>
      <c r="E83" s="16" t="s">
        <v>90</v>
      </c>
      <c r="G83" s="7"/>
      <c r="I83" s="7"/>
      <c r="K83" t="str">
        <f t="shared" si="3"/>
        <v/>
      </c>
      <c r="L83" t="str">
        <f t="shared" si="4"/>
        <v/>
      </c>
      <c r="M83" t="str">
        <f t="shared" si="5"/>
        <v>2025-07</v>
      </c>
    </row>
    <row r="84" spans="1:13" x14ac:dyDescent="0.25">
      <c r="A84" s="1">
        <v>45863</v>
      </c>
      <c r="B84" t="s">
        <v>30</v>
      </c>
      <c r="C84" s="2">
        <v>8500</v>
      </c>
      <c r="D84" t="s">
        <v>89</v>
      </c>
      <c r="E84" s="16" t="s">
        <v>90</v>
      </c>
      <c r="G84" s="7"/>
      <c r="I84" s="7"/>
      <c r="K84" t="str">
        <f t="shared" si="3"/>
        <v/>
      </c>
      <c r="L84" t="str">
        <f t="shared" si="4"/>
        <v/>
      </c>
      <c r="M84" t="str">
        <f t="shared" si="5"/>
        <v>2025-07</v>
      </c>
    </row>
    <row r="85" spans="1:13" x14ac:dyDescent="0.25">
      <c r="A85" s="1">
        <v>45866</v>
      </c>
      <c r="B85" t="s">
        <v>93</v>
      </c>
      <c r="C85" s="2">
        <v>1400</v>
      </c>
      <c r="D85" t="s">
        <v>89</v>
      </c>
      <c r="E85" s="16" t="s">
        <v>90</v>
      </c>
      <c r="G85" s="7"/>
      <c r="I85" s="7"/>
      <c r="K85" t="str">
        <f t="shared" si="3"/>
        <v/>
      </c>
      <c r="L85" t="str">
        <f t="shared" si="4"/>
        <v/>
      </c>
      <c r="M85" t="str">
        <f t="shared" si="5"/>
        <v>2025-07</v>
      </c>
    </row>
    <row r="86" spans="1:13" x14ac:dyDescent="0.25">
      <c r="A86" s="1">
        <v>45866</v>
      </c>
      <c r="B86" t="s">
        <v>34</v>
      </c>
      <c r="C86" s="2">
        <v>16170</v>
      </c>
      <c r="D86" t="s">
        <v>89</v>
      </c>
      <c r="E86" s="16" t="s">
        <v>90</v>
      </c>
      <c r="G86" s="7"/>
      <c r="I86" s="7"/>
      <c r="K86" t="str">
        <f t="shared" si="3"/>
        <v/>
      </c>
      <c r="L86" t="str">
        <f t="shared" si="4"/>
        <v/>
      </c>
      <c r="M86" t="str">
        <f t="shared" si="5"/>
        <v>2025-07</v>
      </c>
    </row>
    <row r="87" spans="1:13" x14ac:dyDescent="0.25">
      <c r="A87" s="1">
        <v>45866</v>
      </c>
      <c r="B87" t="s">
        <v>31</v>
      </c>
      <c r="C87" s="2">
        <v>7000</v>
      </c>
      <c r="D87" t="s">
        <v>89</v>
      </c>
      <c r="E87" s="16" t="s">
        <v>90</v>
      </c>
      <c r="G87" s="7"/>
      <c r="I87" s="7"/>
      <c r="K87" t="str">
        <f t="shared" si="3"/>
        <v/>
      </c>
      <c r="L87" t="str">
        <f t="shared" si="4"/>
        <v/>
      </c>
      <c r="M87" t="str">
        <f t="shared" si="5"/>
        <v>2025-07</v>
      </c>
    </row>
    <row r="88" spans="1:13" x14ac:dyDescent="0.25">
      <c r="A88" s="1">
        <v>45866</v>
      </c>
      <c r="B88" t="s">
        <v>35</v>
      </c>
      <c r="C88" s="2">
        <v>10000</v>
      </c>
      <c r="D88" t="s">
        <v>89</v>
      </c>
      <c r="E88" s="16" t="s">
        <v>90</v>
      </c>
      <c r="G88" s="7"/>
      <c r="I88" s="7"/>
      <c r="K88" t="str">
        <f t="shared" si="3"/>
        <v/>
      </c>
      <c r="L88" t="str">
        <f t="shared" si="4"/>
        <v/>
      </c>
      <c r="M88" t="str">
        <f t="shared" si="5"/>
        <v>2025-07</v>
      </c>
    </row>
    <row r="89" spans="1:13" x14ac:dyDescent="0.25">
      <c r="A89" s="1">
        <v>45866</v>
      </c>
      <c r="B89" t="s">
        <v>29</v>
      </c>
      <c r="C89" s="2">
        <v>3600</v>
      </c>
      <c r="D89" t="s">
        <v>89</v>
      </c>
      <c r="E89" s="16" t="s">
        <v>90</v>
      </c>
      <c r="G89" s="7"/>
      <c r="I89" s="7"/>
      <c r="K89" t="str">
        <f t="shared" si="3"/>
        <v/>
      </c>
      <c r="L89" t="str">
        <f t="shared" si="4"/>
        <v/>
      </c>
      <c r="M89" t="str">
        <f t="shared" si="5"/>
        <v>2025-07</v>
      </c>
    </row>
    <row r="90" spans="1:13" x14ac:dyDescent="0.25">
      <c r="A90" s="1">
        <v>45866</v>
      </c>
      <c r="B90" t="s">
        <v>33</v>
      </c>
      <c r="C90" s="2">
        <v>10550</v>
      </c>
      <c r="D90" t="s">
        <v>89</v>
      </c>
      <c r="E90" s="16" t="s">
        <v>90</v>
      </c>
      <c r="G90" s="7"/>
      <c r="I90" s="7"/>
      <c r="K90" t="str">
        <f t="shared" si="3"/>
        <v/>
      </c>
      <c r="L90" t="str">
        <f t="shared" si="4"/>
        <v/>
      </c>
      <c r="M90" t="str">
        <f t="shared" si="5"/>
        <v>2025-07</v>
      </c>
    </row>
    <row r="91" spans="1:13" x14ac:dyDescent="0.25">
      <c r="A91" s="1">
        <v>45866</v>
      </c>
      <c r="B91" t="s">
        <v>92</v>
      </c>
      <c r="C91" s="2">
        <v>11800</v>
      </c>
      <c r="D91" t="s">
        <v>89</v>
      </c>
      <c r="E91" s="16" t="s">
        <v>90</v>
      </c>
      <c r="G91" s="7"/>
      <c r="I91" s="7"/>
      <c r="K91" t="str">
        <f t="shared" si="3"/>
        <v/>
      </c>
      <c r="L91" t="str">
        <f t="shared" si="4"/>
        <v/>
      </c>
      <c r="M91" t="str">
        <f t="shared" si="5"/>
        <v>2025-07</v>
      </c>
    </row>
    <row r="92" spans="1:13" x14ac:dyDescent="0.25">
      <c r="A92" s="1">
        <v>45866</v>
      </c>
      <c r="B92" t="s">
        <v>92</v>
      </c>
      <c r="C92" s="2">
        <v>9450</v>
      </c>
      <c r="D92" t="s">
        <v>89</v>
      </c>
      <c r="E92" s="16" t="s">
        <v>90</v>
      </c>
      <c r="G92" s="7"/>
      <c r="I92" s="7"/>
      <c r="K92" t="str">
        <f t="shared" si="3"/>
        <v/>
      </c>
      <c r="L92" t="str">
        <f t="shared" si="4"/>
        <v/>
      </c>
      <c r="M92" t="str">
        <f t="shared" si="5"/>
        <v>2025-07</v>
      </c>
    </row>
    <row r="93" spans="1:13" x14ac:dyDescent="0.25">
      <c r="A93" s="1">
        <v>45866</v>
      </c>
      <c r="B93" t="s">
        <v>97</v>
      </c>
      <c r="C93" s="2">
        <v>2200</v>
      </c>
      <c r="D93" t="s">
        <v>89</v>
      </c>
      <c r="E93" s="16" t="s">
        <v>90</v>
      </c>
      <c r="G93" s="7"/>
      <c r="I93" s="7"/>
      <c r="K93" t="str">
        <f t="shared" si="3"/>
        <v/>
      </c>
      <c r="L93" t="str">
        <f t="shared" si="4"/>
        <v/>
      </c>
      <c r="M93" t="str">
        <f t="shared" si="5"/>
        <v>2025-07</v>
      </c>
    </row>
    <row r="94" spans="1:13" x14ac:dyDescent="0.25">
      <c r="A94" s="1">
        <v>45867</v>
      </c>
      <c r="B94" t="s">
        <v>34</v>
      </c>
      <c r="C94" s="2">
        <v>16170</v>
      </c>
      <c r="D94" t="s">
        <v>89</v>
      </c>
      <c r="E94" s="16" t="s">
        <v>90</v>
      </c>
      <c r="G94" s="7"/>
      <c r="I94" s="7"/>
      <c r="K94" t="str">
        <f t="shared" si="3"/>
        <v/>
      </c>
      <c r="L94" t="str">
        <f t="shared" si="4"/>
        <v/>
      </c>
      <c r="M94" t="str">
        <f t="shared" si="5"/>
        <v>2025-07</v>
      </c>
    </row>
    <row r="95" spans="1:13" x14ac:dyDescent="0.25">
      <c r="A95" s="1">
        <v>45867</v>
      </c>
      <c r="B95" t="s">
        <v>29</v>
      </c>
      <c r="C95" s="2">
        <v>3600</v>
      </c>
      <c r="D95" t="s">
        <v>89</v>
      </c>
      <c r="E95" s="16" t="s">
        <v>90</v>
      </c>
      <c r="G95" s="7"/>
      <c r="I95" s="7"/>
      <c r="K95" t="str">
        <f t="shared" si="3"/>
        <v/>
      </c>
      <c r="L95" t="str">
        <f t="shared" si="4"/>
        <v/>
      </c>
      <c r="M95" t="str">
        <f t="shared" si="5"/>
        <v>2025-07</v>
      </c>
    </row>
    <row r="96" spans="1:13" x14ac:dyDescent="0.25">
      <c r="A96" s="1">
        <v>45867</v>
      </c>
      <c r="B96" t="s">
        <v>33</v>
      </c>
      <c r="C96" s="2">
        <v>10300</v>
      </c>
      <c r="D96" t="s">
        <v>89</v>
      </c>
      <c r="E96" s="16" t="s">
        <v>90</v>
      </c>
      <c r="G96" s="7"/>
      <c r="I96" s="7"/>
      <c r="K96" t="str">
        <f t="shared" si="3"/>
        <v/>
      </c>
      <c r="L96" t="str">
        <f t="shared" si="4"/>
        <v/>
      </c>
      <c r="M96" t="str">
        <f t="shared" si="5"/>
        <v>2025-07</v>
      </c>
    </row>
    <row r="97" spans="1:13" x14ac:dyDescent="0.25">
      <c r="A97" s="1">
        <v>45867</v>
      </c>
      <c r="B97" t="s">
        <v>92</v>
      </c>
      <c r="C97" s="2">
        <v>9450</v>
      </c>
      <c r="D97" t="s">
        <v>89</v>
      </c>
      <c r="E97" s="16" t="s">
        <v>90</v>
      </c>
      <c r="G97" s="7"/>
      <c r="I97" s="7"/>
      <c r="K97" t="str">
        <f t="shared" si="3"/>
        <v/>
      </c>
      <c r="L97" t="str">
        <f t="shared" si="4"/>
        <v/>
      </c>
      <c r="M97" t="str">
        <f t="shared" si="5"/>
        <v>2025-07</v>
      </c>
    </row>
    <row r="98" spans="1:13" x14ac:dyDescent="0.25">
      <c r="A98" s="1">
        <v>45867</v>
      </c>
      <c r="B98" t="s">
        <v>17</v>
      </c>
      <c r="C98" s="2">
        <v>400</v>
      </c>
      <c r="D98" t="s">
        <v>89</v>
      </c>
      <c r="E98" s="16" t="s">
        <v>90</v>
      </c>
      <c r="G98" s="7"/>
      <c r="I98" s="7"/>
      <c r="K98" t="str">
        <f t="shared" si="3"/>
        <v/>
      </c>
      <c r="L98" t="str">
        <f t="shared" si="4"/>
        <v/>
      </c>
      <c r="M98" t="str">
        <f t="shared" si="5"/>
        <v>2025-07</v>
      </c>
    </row>
    <row r="99" spans="1:13" x14ac:dyDescent="0.25">
      <c r="A99" s="1">
        <v>45867</v>
      </c>
      <c r="B99" t="s">
        <v>91</v>
      </c>
      <c r="C99" s="2">
        <v>3000</v>
      </c>
      <c r="D99" t="s">
        <v>89</v>
      </c>
      <c r="E99" s="16" t="s">
        <v>90</v>
      </c>
      <c r="G99" s="7"/>
      <c r="I99" s="7"/>
      <c r="K99" t="str">
        <f t="shared" si="3"/>
        <v/>
      </c>
      <c r="L99" t="str">
        <f t="shared" si="4"/>
        <v/>
      </c>
      <c r="M99" t="str">
        <f t="shared" si="5"/>
        <v>2025-07</v>
      </c>
    </row>
    <row r="100" spans="1:13" x14ac:dyDescent="0.25">
      <c r="A100" s="1">
        <v>45868</v>
      </c>
      <c r="B100" t="s">
        <v>31</v>
      </c>
      <c r="C100" s="2">
        <v>7000</v>
      </c>
      <c r="D100" t="s">
        <v>89</v>
      </c>
      <c r="E100" s="16" t="s">
        <v>90</v>
      </c>
      <c r="G100" s="7"/>
      <c r="I100" s="7"/>
      <c r="K100" t="str">
        <f t="shared" si="3"/>
        <v/>
      </c>
      <c r="L100" t="str">
        <f t="shared" si="4"/>
        <v/>
      </c>
      <c r="M100" t="str">
        <f t="shared" si="5"/>
        <v>2025-07</v>
      </c>
    </row>
    <row r="101" spans="1:13" x14ac:dyDescent="0.25">
      <c r="A101" s="1">
        <v>45868</v>
      </c>
      <c r="B101" t="s">
        <v>33</v>
      </c>
      <c r="C101" s="2">
        <v>10500</v>
      </c>
      <c r="D101" t="s">
        <v>89</v>
      </c>
      <c r="E101" s="16" t="s">
        <v>90</v>
      </c>
      <c r="G101" s="7"/>
      <c r="I101" s="7"/>
      <c r="K101" t="str">
        <f t="shared" si="3"/>
        <v/>
      </c>
      <c r="L101" t="str">
        <f t="shared" si="4"/>
        <v/>
      </c>
      <c r="M101" t="str">
        <f t="shared" si="5"/>
        <v>2025-07</v>
      </c>
    </row>
    <row r="102" spans="1:13" x14ac:dyDescent="0.25">
      <c r="A102" s="1">
        <v>45868</v>
      </c>
      <c r="B102" t="s">
        <v>92</v>
      </c>
      <c r="C102" s="2">
        <v>4050</v>
      </c>
      <c r="D102" t="s">
        <v>89</v>
      </c>
      <c r="E102" s="16" t="s">
        <v>90</v>
      </c>
      <c r="G102" s="7"/>
      <c r="I102" s="7"/>
      <c r="K102" t="str">
        <f t="shared" si="3"/>
        <v/>
      </c>
      <c r="L102" t="str">
        <f t="shared" si="4"/>
        <v/>
      </c>
      <c r="M102" t="str">
        <f t="shared" si="5"/>
        <v>2025-07</v>
      </c>
    </row>
    <row r="103" spans="1:13" x14ac:dyDescent="0.25">
      <c r="A103" s="1">
        <v>45868</v>
      </c>
      <c r="B103" t="s">
        <v>92</v>
      </c>
      <c r="C103" s="2">
        <v>6750</v>
      </c>
      <c r="D103" t="s">
        <v>89</v>
      </c>
      <c r="E103" s="16" t="s">
        <v>90</v>
      </c>
      <c r="G103" s="7"/>
      <c r="I103" s="7"/>
      <c r="K103" t="str">
        <f t="shared" si="3"/>
        <v/>
      </c>
      <c r="L103" t="str">
        <f t="shared" si="4"/>
        <v/>
      </c>
      <c r="M103" t="str">
        <f t="shared" si="5"/>
        <v>2025-07</v>
      </c>
    </row>
    <row r="104" spans="1:13" x14ac:dyDescent="0.25">
      <c r="A104" s="1">
        <v>45868</v>
      </c>
      <c r="B104" t="s">
        <v>91</v>
      </c>
      <c r="C104" s="2">
        <v>9300</v>
      </c>
      <c r="D104" t="s">
        <v>89</v>
      </c>
      <c r="E104" s="16" t="s">
        <v>90</v>
      </c>
      <c r="G104" s="7"/>
      <c r="I104" s="7"/>
      <c r="K104" t="str">
        <f t="shared" si="3"/>
        <v/>
      </c>
      <c r="L104" t="str">
        <f t="shared" si="4"/>
        <v/>
      </c>
      <c r="M104" t="str">
        <f t="shared" si="5"/>
        <v>2025-07</v>
      </c>
    </row>
    <row r="105" spans="1:13" x14ac:dyDescent="0.25">
      <c r="A105" s="1">
        <v>45868</v>
      </c>
      <c r="B105" t="s">
        <v>91</v>
      </c>
      <c r="C105" s="2">
        <v>9000</v>
      </c>
      <c r="D105" t="s">
        <v>89</v>
      </c>
      <c r="E105" s="16" t="s">
        <v>90</v>
      </c>
      <c r="G105" s="7"/>
      <c r="I105" s="7"/>
      <c r="K105" t="str">
        <f t="shared" si="3"/>
        <v/>
      </c>
      <c r="L105" t="str">
        <f t="shared" si="4"/>
        <v/>
      </c>
      <c r="M105" t="str">
        <f t="shared" si="5"/>
        <v>2025-07</v>
      </c>
    </row>
    <row r="106" spans="1:13" x14ac:dyDescent="0.25">
      <c r="A106" s="1">
        <v>45869</v>
      </c>
      <c r="B106" t="s">
        <v>32</v>
      </c>
      <c r="C106" s="2">
        <v>7000</v>
      </c>
      <c r="D106" t="s">
        <v>89</v>
      </c>
      <c r="E106" s="16" t="s">
        <v>90</v>
      </c>
      <c r="G106" s="7"/>
      <c r="I106" s="7"/>
      <c r="K106" t="str">
        <f t="shared" si="3"/>
        <v/>
      </c>
      <c r="L106" t="str">
        <f t="shared" si="4"/>
        <v/>
      </c>
      <c r="M106" t="str">
        <f t="shared" si="5"/>
        <v>2025-07</v>
      </c>
    </row>
    <row r="107" spans="1:13" x14ac:dyDescent="0.25">
      <c r="A107" s="1">
        <v>45869</v>
      </c>
      <c r="B107" t="s">
        <v>29</v>
      </c>
      <c r="C107" s="2">
        <v>900</v>
      </c>
      <c r="D107" t="s">
        <v>89</v>
      </c>
      <c r="E107" s="16" t="s">
        <v>90</v>
      </c>
      <c r="G107" s="7"/>
      <c r="I107" s="7"/>
      <c r="K107" t="str">
        <f t="shared" si="3"/>
        <v/>
      </c>
      <c r="L107" t="str">
        <f t="shared" si="4"/>
        <v/>
      </c>
      <c r="M107" t="str">
        <f t="shared" si="5"/>
        <v>2025-07</v>
      </c>
    </row>
    <row r="108" spans="1:13" x14ac:dyDescent="0.25">
      <c r="A108" s="1">
        <v>45869</v>
      </c>
      <c r="B108" t="s">
        <v>96</v>
      </c>
      <c r="C108" s="2">
        <v>1250</v>
      </c>
      <c r="D108" t="s">
        <v>89</v>
      </c>
      <c r="E108" s="16" t="s">
        <v>90</v>
      </c>
      <c r="G108" s="7"/>
      <c r="I108" s="7"/>
      <c r="K108" t="str">
        <f t="shared" si="3"/>
        <v/>
      </c>
      <c r="L108" t="str">
        <f t="shared" si="4"/>
        <v/>
      </c>
      <c r="M108" t="str">
        <f t="shared" si="5"/>
        <v>2025-07</v>
      </c>
    </row>
    <row r="109" spans="1:13" x14ac:dyDescent="0.25">
      <c r="A109" s="1">
        <v>45869</v>
      </c>
      <c r="B109" t="s">
        <v>91</v>
      </c>
      <c r="C109" s="2">
        <v>15000</v>
      </c>
      <c r="D109" t="s">
        <v>89</v>
      </c>
      <c r="E109" s="16" t="s">
        <v>90</v>
      </c>
      <c r="G109" s="7"/>
      <c r="I109" s="7"/>
      <c r="K109" t="str">
        <f t="shared" si="3"/>
        <v/>
      </c>
      <c r="L109" t="str">
        <f t="shared" si="4"/>
        <v/>
      </c>
      <c r="M109" t="str">
        <f t="shared" si="5"/>
        <v>2025-07</v>
      </c>
    </row>
    <row r="110" spans="1:13" x14ac:dyDescent="0.25">
      <c r="A110" s="1">
        <v>45869</v>
      </c>
      <c r="B110" t="s">
        <v>27</v>
      </c>
      <c r="C110" s="2">
        <v>1050</v>
      </c>
      <c r="D110" t="s">
        <v>89</v>
      </c>
      <c r="E110" s="16" t="s">
        <v>90</v>
      </c>
      <c r="G110" s="7"/>
      <c r="I110" s="7"/>
      <c r="K110" t="str">
        <f t="shared" si="3"/>
        <v/>
      </c>
      <c r="L110" t="str">
        <f t="shared" si="4"/>
        <v/>
      </c>
      <c r="M110" t="str">
        <f t="shared" si="5"/>
        <v>2025-07</v>
      </c>
    </row>
    <row r="111" spans="1:13" x14ac:dyDescent="0.25">
      <c r="A111" s="1">
        <v>45870</v>
      </c>
      <c r="B111" t="s">
        <v>22</v>
      </c>
      <c r="C111" s="2">
        <v>700</v>
      </c>
      <c r="D111" t="s">
        <v>89</v>
      </c>
      <c r="E111" s="16" t="s">
        <v>90</v>
      </c>
      <c r="G111" s="7"/>
      <c r="I111" s="7"/>
      <c r="K111" t="str">
        <f t="shared" si="3"/>
        <v/>
      </c>
      <c r="L111" t="str">
        <f t="shared" si="4"/>
        <v/>
      </c>
      <c r="M111" t="str">
        <f t="shared" si="5"/>
        <v>2025-08</v>
      </c>
    </row>
    <row r="112" spans="1:13" x14ac:dyDescent="0.25">
      <c r="A112" s="1">
        <v>45870</v>
      </c>
      <c r="B112" t="s">
        <v>35</v>
      </c>
      <c r="C112" s="2">
        <v>10000</v>
      </c>
      <c r="D112" t="s">
        <v>89</v>
      </c>
      <c r="E112" s="16" t="s">
        <v>90</v>
      </c>
      <c r="G112" s="7"/>
      <c r="I112" s="7"/>
      <c r="K112" t="str">
        <f t="shared" si="3"/>
        <v/>
      </c>
      <c r="L112" t="str">
        <f t="shared" si="4"/>
        <v/>
      </c>
      <c r="M112" t="str">
        <f t="shared" si="5"/>
        <v>2025-08</v>
      </c>
    </row>
    <row r="113" spans="1:13" x14ac:dyDescent="0.25">
      <c r="A113" s="1">
        <v>45870</v>
      </c>
      <c r="B113" t="s">
        <v>29</v>
      </c>
      <c r="C113" s="2">
        <v>900</v>
      </c>
      <c r="D113" t="s">
        <v>89</v>
      </c>
      <c r="E113" s="16" t="s">
        <v>90</v>
      </c>
      <c r="G113" s="7"/>
      <c r="I113" s="7"/>
      <c r="K113" t="str">
        <f t="shared" si="3"/>
        <v/>
      </c>
      <c r="L113" t="str">
        <f t="shared" si="4"/>
        <v/>
      </c>
      <c r="M113" t="str">
        <f t="shared" si="5"/>
        <v>2025-08</v>
      </c>
    </row>
    <row r="114" spans="1:13" x14ac:dyDescent="0.25">
      <c r="A114" s="1">
        <v>45870</v>
      </c>
      <c r="B114" t="s">
        <v>92</v>
      </c>
      <c r="C114" s="2">
        <v>12150</v>
      </c>
      <c r="D114" t="s">
        <v>89</v>
      </c>
      <c r="E114" s="16" t="s">
        <v>90</v>
      </c>
      <c r="G114" s="7"/>
      <c r="I114" s="7"/>
      <c r="K114" t="str">
        <f t="shared" si="3"/>
        <v/>
      </c>
      <c r="L114" t="str">
        <f t="shared" si="4"/>
        <v/>
      </c>
      <c r="M114" t="str">
        <f t="shared" si="5"/>
        <v>2025-08</v>
      </c>
    </row>
    <row r="115" spans="1:13" x14ac:dyDescent="0.25">
      <c r="A115" s="1">
        <v>45870</v>
      </c>
      <c r="B115" t="s">
        <v>91</v>
      </c>
      <c r="C115" s="2">
        <v>15000</v>
      </c>
      <c r="D115" t="s">
        <v>89</v>
      </c>
      <c r="E115" s="16" t="s">
        <v>90</v>
      </c>
      <c r="G115" s="7"/>
      <c r="I115" s="7"/>
      <c r="K115" t="str">
        <f t="shared" si="3"/>
        <v/>
      </c>
      <c r="L115" t="str">
        <f t="shared" si="4"/>
        <v/>
      </c>
      <c r="M115" t="str">
        <f t="shared" si="5"/>
        <v>2025-08</v>
      </c>
    </row>
    <row r="116" spans="1:13" x14ac:dyDescent="0.25">
      <c r="A116" s="1">
        <v>45873</v>
      </c>
      <c r="B116" t="s">
        <v>98</v>
      </c>
      <c r="C116" s="2">
        <v>1130</v>
      </c>
      <c r="D116" t="s">
        <v>89</v>
      </c>
      <c r="E116" s="16" t="s">
        <v>90</v>
      </c>
      <c r="G116" s="7"/>
      <c r="I116" s="7"/>
      <c r="K116" t="str">
        <f t="shared" si="3"/>
        <v/>
      </c>
      <c r="L116" t="str">
        <f t="shared" si="4"/>
        <v/>
      </c>
      <c r="M116" t="str">
        <f t="shared" si="5"/>
        <v>2025-08</v>
      </c>
    </row>
    <row r="117" spans="1:13" x14ac:dyDescent="0.25">
      <c r="A117" s="1">
        <v>45873</v>
      </c>
      <c r="B117" t="s">
        <v>29</v>
      </c>
      <c r="C117" s="2">
        <v>4500</v>
      </c>
      <c r="D117" t="s">
        <v>89</v>
      </c>
      <c r="E117" s="16" t="s">
        <v>90</v>
      </c>
      <c r="G117" s="7"/>
      <c r="I117" s="7"/>
      <c r="K117" t="str">
        <f t="shared" si="3"/>
        <v/>
      </c>
      <c r="L117" t="str">
        <f t="shared" si="4"/>
        <v/>
      </c>
      <c r="M117" t="str">
        <f t="shared" si="5"/>
        <v>2025-08</v>
      </c>
    </row>
    <row r="118" spans="1:13" x14ac:dyDescent="0.25">
      <c r="A118" s="1">
        <v>45873</v>
      </c>
      <c r="B118" t="s">
        <v>92</v>
      </c>
      <c r="C118" s="2">
        <v>5400</v>
      </c>
      <c r="D118" t="s">
        <v>89</v>
      </c>
      <c r="E118" s="16" t="s">
        <v>90</v>
      </c>
      <c r="G118" s="7"/>
      <c r="I118" s="7"/>
      <c r="K118" t="str">
        <f t="shared" si="3"/>
        <v/>
      </c>
      <c r="L118" t="str">
        <f t="shared" si="4"/>
        <v/>
      </c>
      <c r="M118" t="str">
        <f t="shared" si="5"/>
        <v>2025-08</v>
      </c>
    </row>
    <row r="119" spans="1:13" x14ac:dyDescent="0.25">
      <c r="A119" s="1">
        <v>45873</v>
      </c>
      <c r="B119" t="s">
        <v>98</v>
      </c>
      <c r="C119" s="2">
        <v>4520</v>
      </c>
      <c r="D119" t="s">
        <v>89</v>
      </c>
      <c r="E119" s="16" t="s">
        <v>90</v>
      </c>
      <c r="G119" s="7"/>
      <c r="I119" s="7"/>
      <c r="K119" t="str">
        <f t="shared" si="3"/>
        <v/>
      </c>
      <c r="L119" t="str">
        <f t="shared" si="4"/>
        <v/>
      </c>
      <c r="M119" t="str">
        <f t="shared" si="5"/>
        <v>2025-08</v>
      </c>
    </row>
    <row r="120" spans="1:13" x14ac:dyDescent="0.25">
      <c r="A120" s="1">
        <v>45873</v>
      </c>
      <c r="B120" t="s">
        <v>28</v>
      </c>
      <c r="C120" s="2">
        <v>5100</v>
      </c>
      <c r="D120" t="s">
        <v>89</v>
      </c>
      <c r="E120" s="16" t="s">
        <v>90</v>
      </c>
      <c r="G120" s="7"/>
      <c r="I120" s="7"/>
      <c r="K120" t="str">
        <f t="shared" si="3"/>
        <v/>
      </c>
      <c r="L120" t="str">
        <f t="shared" si="4"/>
        <v/>
      </c>
      <c r="M120" t="str">
        <f t="shared" si="5"/>
        <v>2025-08</v>
      </c>
    </row>
    <row r="121" spans="1:13" x14ac:dyDescent="0.25">
      <c r="A121" s="1">
        <v>45874</v>
      </c>
      <c r="B121" t="s">
        <v>32</v>
      </c>
      <c r="C121" s="2">
        <v>2000</v>
      </c>
      <c r="D121" t="s">
        <v>89</v>
      </c>
      <c r="E121" s="16" t="s">
        <v>90</v>
      </c>
      <c r="G121" s="7"/>
      <c r="I121" s="7"/>
      <c r="K121" t="str">
        <f t="shared" si="3"/>
        <v/>
      </c>
      <c r="L121" t="str">
        <f t="shared" si="4"/>
        <v/>
      </c>
      <c r="M121" t="str">
        <f t="shared" si="5"/>
        <v>2025-08</v>
      </c>
    </row>
    <row r="122" spans="1:13" x14ac:dyDescent="0.25">
      <c r="A122" s="1">
        <v>45874</v>
      </c>
      <c r="B122" t="s">
        <v>92</v>
      </c>
      <c r="C122" s="2">
        <v>1350</v>
      </c>
      <c r="D122" t="s">
        <v>89</v>
      </c>
      <c r="E122" s="16" t="s">
        <v>90</v>
      </c>
      <c r="G122" s="7"/>
      <c r="I122" s="7"/>
      <c r="K122" t="str">
        <f t="shared" si="3"/>
        <v/>
      </c>
      <c r="L122" t="str">
        <f t="shared" si="4"/>
        <v/>
      </c>
      <c r="M122" t="str">
        <f t="shared" si="5"/>
        <v>2025-08</v>
      </c>
    </row>
    <row r="123" spans="1:13" x14ac:dyDescent="0.25">
      <c r="A123" s="1">
        <v>45874</v>
      </c>
      <c r="B123" t="s">
        <v>91</v>
      </c>
      <c r="C123" s="2">
        <v>3000</v>
      </c>
      <c r="D123" t="s">
        <v>89</v>
      </c>
      <c r="E123" s="16" t="s">
        <v>90</v>
      </c>
      <c r="G123" s="7"/>
      <c r="I123" s="7"/>
      <c r="K123" t="str">
        <f t="shared" si="3"/>
        <v/>
      </c>
      <c r="L123" t="str">
        <f t="shared" si="4"/>
        <v/>
      </c>
      <c r="M123" t="str">
        <f t="shared" si="5"/>
        <v>2025-08</v>
      </c>
    </row>
    <row r="124" spans="1:13" x14ac:dyDescent="0.25">
      <c r="A124" s="1">
        <v>45874</v>
      </c>
      <c r="B124" t="s">
        <v>91</v>
      </c>
      <c r="C124" s="2">
        <v>1500</v>
      </c>
      <c r="D124" t="s">
        <v>89</v>
      </c>
      <c r="E124" s="16" t="s">
        <v>90</v>
      </c>
      <c r="G124" s="7"/>
      <c r="I124" s="7"/>
      <c r="K124" t="str">
        <f t="shared" si="3"/>
        <v/>
      </c>
      <c r="L124" t="str">
        <f t="shared" si="4"/>
        <v/>
      </c>
      <c r="M124" t="str">
        <f t="shared" si="5"/>
        <v>2025-08</v>
      </c>
    </row>
    <row r="125" spans="1:13" x14ac:dyDescent="0.25">
      <c r="A125" s="1">
        <v>45874</v>
      </c>
      <c r="B125" t="s">
        <v>99</v>
      </c>
      <c r="C125" s="2">
        <v>7000</v>
      </c>
      <c r="D125" t="s">
        <v>89</v>
      </c>
      <c r="E125" s="16" t="s">
        <v>90</v>
      </c>
      <c r="G125" s="7"/>
      <c r="I125" s="7"/>
      <c r="K125" t="str">
        <f t="shared" si="3"/>
        <v/>
      </c>
      <c r="L125" t="str">
        <f t="shared" si="4"/>
        <v/>
      </c>
      <c r="M125" t="str">
        <f t="shared" si="5"/>
        <v>2025-08</v>
      </c>
    </row>
    <row r="126" spans="1:13" x14ac:dyDescent="0.25">
      <c r="A126" s="1">
        <v>45874</v>
      </c>
      <c r="B126" t="s">
        <v>98</v>
      </c>
      <c r="C126" s="2">
        <v>1130</v>
      </c>
      <c r="D126" t="s">
        <v>89</v>
      </c>
      <c r="E126" s="16" t="s">
        <v>90</v>
      </c>
      <c r="G126" s="7"/>
      <c r="I126" s="7"/>
      <c r="K126" t="str">
        <f t="shared" si="3"/>
        <v/>
      </c>
      <c r="L126" t="str">
        <f t="shared" si="4"/>
        <v/>
      </c>
      <c r="M126" t="str">
        <f t="shared" si="5"/>
        <v>2025-08</v>
      </c>
    </row>
    <row r="127" spans="1:13" x14ac:dyDescent="0.25">
      <c r="A127" s="1">
        <v>45874</v>
      </c>
      <c r="B127" t="s">
        <v>33</v>
      </c>
      <c r="C127" s="2">
        <v>10400</v>
      </c>
      <c r="D127" t="s">
        <v>89</v>
      </c>
      <c r="E127" s="16" t="s">
        <v>90</v>
      </c>
      <c r="G127" s="7"/>
      <c r="I127" s="7"/>
      <c r="K127" t="str">
        <f t="shared" si="3"/>
        <v/>
      </c>
      <c r="L127" t="str">
        <f t="shared" si="4"/>
        <v/>
      </c>
      <c r="M127" t="str">
        <f t="shared" si="5"/>
        <v>2025-08</v>
      </c>
    </row>
    <row r="128" spans="1:13" x14ac:dyDescent="0.25">
      <c r="A128" s="1">
        <v>45874</v>
      </c>
      <c r="B128" t="s">
        <v>30</v>
      </c>
      <c r="C128" s="2">
        <v>8500</v>
      </c>
      <c r="D128" t="s">
        <v>89</v>
      </c>
      <c r="E128" s="16" t="s">
        <v>90</v>
      </c>
      <c r="G128" s="7"/>
      <c r="I128" s="7"/>
      <c r="K128" t="str">
        <f t="shared" si="3"/>
        <v/>
      </c>
      <c r="L128" t="str">
        <f t="shared" si="4"/>
        <v/>
      </c>
      <c r="M128" t="str">
        <f t="shared" si="5"/>
        <v>2025-08</v>
      </c>
    </row>
    <row r="129" spans="1:13" x14ac:dyDescent="0.25">
      <c r="A129" s="1">
        <v>45874</v>
      </c>
      <c r="B129" t="s">
        <v>11</v>
      </c>
      <c r="C129" s="2">
        <v>1000</v>
      </c>
      <c r="D129" t="s">
        <v>89</v>
      </c>
      <c r="E129" s="16" t="s">
        <v>90</v>
      </c>
      <c r="G129" s="7"/>
      <c r="I129" s="7"/>
      <c r="K129" t="str">
        <f t="shared" si="3"/>
        <v/>
      </c>
      <c r="L129" t="str">
        <f t="shared" si="4"/>
        <v/>
      </c>
      <c r="M129" t="str">
        <f t="shared" si="5"/>
        <v>2025-08</v>
      </c>
    </row>
    <row r="130" spans="1:13" x14ac:dyDescent="0.25">
      <c r="A130" s="1">
        <v>45874</v>
      </c>
      <c r="B130" t="s">
        <v>100</v>
      </c>
      <c r="C130" s="2">
        <v>1000</v>
      </c>
      <c r="D130" t="s">
        <v>89</v>
      </c>
      <c r="E130" s="16" t="s">
        <v>90</v>
      </c>
      <c r="G130" s="7"/>
      <c r="I130" s="7"/>
      <c r="K130" t="str">
        <f t="shared" ref="K130:K193" si="6">IF(AND(L130&lt;&gt;"",C130&gt;0),L130/C130,"")</f>
        <v/>
      </c>
      <c r="L130" t="str">
        <f t="shared" ref="L130:L193" si="7">IF(AND(D130="FINALIZADO",H130&lt;&gt;""),VALUE(LEFT(H130,FIND("h",H130)-1))*60+VALUE(MID(H130,FIND("h",H130)+2,FIND("min",H130)-FIND("h",H130)-2)),"")</f>
        <v/>
      </c>
      <c r="M130" t="str">
        <f t="shared" ref="M130:M193" si="8">TEXT(YEAR(A130),"0000")&amp;"-"&amp;TEXT(MONTH(A130),"00")</f>
        <v>2025-08</v>
      </c>
    </row>
    <row r="131" spans="1:13" x14ac:dyDescent="0.25">
      <c r="A131" s="1">
        <v>45875</v>
      </c>
      <c r="B131" t="s">
        <v>29</v>
      </c>
      <c r="C131" s="2">
        <v>3600</v>
      </c>
      <c r="D131" t="s">
        <v>89</v>
      </c>
      <c r="E131" s="16" t="s">
        <v>90</v>
      </c>
      <c r="G131" s="7"/>
      <c r="I131" s="7"/>
      <c r="K131" t="str">
        <f t="shared" si="6"/>
        <v/>
      </c>
      <c r="L131" t="str">
        <f t="shared" si="7"/>
        <v/>
      </c>
      <c r="M131" t="str">
        <f t="shared" si="8"/>
        <v>2025-08</v>
      </c>
    </row>
    <row r="132" spans="1:13" x14ac:dyDescent="0.25">
      <c r="A132" s="1">
        <v>45875</v>
      </c>
      <c r="B132" t="s">
        <v>27</v>
      </c>
      <c r="C132" s="2">
        <v>3150</v>
      </c>
      <c r="D132" t="s">
        <v>89</v>
      </c>
      <c r="E132" s="16" t="s">
        <v>90</v>
      </c>
      <c r="G132" s="7"/>
      <c r="I132" s="7"/>
      <c r="K132" t="str">
        <f t="shared" si="6"/>
        <v/>
      </c>
      <c r="L132" t="str">
        <f t="shared" si="7"/>
        <v/>
      </c>
      <c r="M132" t="str">
        <f t="shared" si="8"/>
        <v>2025-08</v>
      </c>
    </row>
    <row r="133" spans="1:13" x14ac:dyDescent="0.25">
      <c r="A133" s="1">
        <v>45875</v>
      </c>
      <c r="B133" t="s">
        <v>34</v>
      </c>
      <c r="C133" s="2">
        <v>8300</v>
      </c>
      <c r="D133" t="s">
        <v>89</v>
      </c>
      <c r="E133" s="16" t="s">
        <v>90</v>
      </c>
      <c r="G133" s="7"/>
      <c r="I133" s="7"/>
      <c r="K133" t="str">
        <f t="shared" si="6"/>
        <v/>
      </c>
      <c r="L133" t="str">
        <f t="shared" si="7"/>
        <v/>
      </c>
      <c r="M133" t="str">
        <f t="shared" si="8"/>
        <v>2025-08</v>
      </c>
    </row>
    <row r="134" spans="1:13" x14ac:dyDescent="0.25">
      <c r="A134" s="1">
        <v>45875</v>
      </c>
      <c r="B134" t="s">
        <v>91</v>
      </c>
      <c r="C134" s="2">
        <v>15000</v>
      </c>
      <c r="D134" t="s">
        <v>89</v>
      </c>
      <c r="E134" s="16" t="s">
        <v>90</v>
      </c>
      <c r="G134" s="7"/>
      <c r="I134" s="7"/>
      <c r="K134" t="str">
        <f t="shared" si="6"/>
        <v/>
      </c>
      <c r="L134" t="str">
        <f t="shared" si="7"/>
        <v/>
      </c>
      <c r="M134" t="str">
        <f t="shared" si="8"/>
        <v>2025-08</v>
      </c>
    </row>
    <row r="135" spans="1:13" x14ac:dyDescent="0.25">
      <c r="A135" s="1">
        <v>45876</v>
      </c>
      <c r="B135" t="s">
        <v>96</v>
      </c>
      <c r="C135" s="2">
        <v>1250</v>
      </c>
      <c r="D135" t="s">
        <v>89</v>
      </c>
      <c r="E135" s="16" t="s">
        <v>90</v>
      </c>
      <c r="G135" s="7"/>
      <c r="I135" s="7"/>
      <c r="K135" t="str">
        <f t="shared" si="6"/>
        <v/>
      </c>
      <c r="L135" t="str">
        <f t="shared" si="7"/>
        <v/>
      </c>
      <c r="M135" t="str">
        <f t="shared" si="8"/>
        <v>2025-08</v>
      </c>
    </row>
    <row r="136" spans="1:13" x14ac:dyDescent="0.25">
      <c r="A136" s="1">
        <v>45876</v>
      </c>
      <c r="B136" t="s">
        <v>96</v>
      </c>
      <c r="C136" s="2">
        <v>1000</v>
      </c>
      <c r="D136" t="s">
        <v>89</v>
      </c>
      <c r="E136" s="16" t="s">
        <v>90</v>
      </c>
      <c r="G136" s="7"/>
      <c r="I136" s="7"/>
      <c r="K136" t="str">
        <f t="shared" si="6"/>
        <v/>
      </c>
      <c r="L136" t="str">
        <f t="shared" si="7"/>
        <v/>
      </c>
      <c r="M136" t="str">
        <f t="shared" si="8"/>
        <v>2025-08</v>
      </c>
    </row>
    <row r="137" spans="1:13" x14ac:dyDescent="0.25">
      <c r="A137" s="1">
        <v>45876</v>
      </c>
      <c r="B137" t="s">
        <v>92</v>
      </c>
      <c r="C137" s="2">
        <v>6750</v>
      </c>
      <c r="D137" t="s">
        <v>89</v>
      </c>
      <c r="E137" s="16" t="s">
        <v>90</v>
      </c>
      <c r="G137" s="7"/>
      <c r="I137" s="7"/>
      <c r="K137" t="str">
        <f t="shared" si="6"/>
        <v/>
      </c>
      <c r="L137" t="str">
        <f t="shared" si="7"/>
        <v/>
      </c>
      <c r="M137" t="str">
        <f t="shared" si="8"/>
        <v>2025-08</v>
      </c>
    </row>
    <row r="138" spans="1:13" x14ac:dyDescent="0.25">
      <c r="A138" s="1">
        <v>45876</v>
      </c>
      <c r="B138" t="s">
        <v>101</v>
      </c>
      <c r="C138" s="2">
        <v>400</v>
      </c>
      <c r="D138" t="s">
        <v>89</v>
      </c>
      <c r="E138" s="16" t="s">
        <v>90</v>
      </c>
      <c r="G138" s="7"/>
      <c r="I138" s="7"/>
      <c r="K138" t="str">
        <f t="shared" si="6"/>
        <v/>
      </c>
      <c r="L138" t="str">
        <f t="shared" si="7"/>
        <v/>
      </c>
      <c r="M138" t="str">
        <f t="shared" si="8"/>
        <v>2025-08</v>
      </c>
    </row>
    <row r="139" spans="1:13" x14ac:dyDescent="0.25">
      <c r="A139" s="1">
        <v>45876</v>
      </c>
      <c r="B139" t="s">
        <v>91</v>
      </c>
      <c r="C139" s="2">
        <v>16500</v>
      </c>
      <c r="D139" t="s">
        <v>89</v>
      </c>
      <c r="E139" s="16" t="s">
        <v>90</v>
      </c>
      <c r="G139" s="7"/>
      <c r="I139" s="7"/>
      <c r="K139" t="str">
        <f t="shared" si="6"/>
        <v/>
      </c>
      <c r="L139" t="str">
        <f t="shared" si="7"/>
        <v/>
      </c>
      <c r="M139" t="str">
        <f t="shared" si="8"/>
        <v>2025-08</v>
      </c>
    </row>
    <row r="140" spans="1:13" x14ac:dyDescent="0.25">
      <c r="A140" s="1">
        <v>45877</v>
      </c>
      <c r="B140" t="s">
        <v>35</v>
      </c>
      <c r="C140" s="2">
        <v>10000</v>
      </c>
      <c r="D140" t="s">
        <v>89</v>
      </c>
      <c r="E140" s="16" t="s">
        <v>90</v>
      </c>
      <c r="G140" s="7"/>
      <c r="I140" s="7"/>
      <c r="K140" t="str">
        <f t="shared" si="6"/>
        <v/>
      </c>
      <c r="L140" t="str">
        <f t="shared" si="7"/>
        <v/>
      </c>
      <c r="M140" t="str">
        <f t="shared" si="8"/>
        <v>2025-08</v>
      </c>
    </row>
    <row r="141" spans="1:13" x14ac:dyDescent="0.25">
      <c r="A141" s="1">
        <v>45877</v>
      </c>
      <c r="B141" t="s">
        <v>28</v>
      </c>
      <c r="C141" s="2">
        <v>7500</v>
      </c>
      <c r="D141" t="s">
        <v>89</v>
      </c>
      <c r="E141" s="16" t="s">
        <v>90</v>
      </c>
      <c r="G141" s="7"/>
      <c r="I141" s="7"/>
      <c r="K141" t="str">
        <f t="shared" si="6"/>
        <v/>
      </c>
      <c r="L141" t="str">
        <f t="shared" si="7"/>
        <v/>
      </c>
      <c r="M141" t="str">
        <f t="shared" si="8"/>
        <v>2025-08</v>
      </c>
    </row>
    <row r="142" spans="1:13" x14ac:dyDescent="0.25">
      <c r="A142" s="1">
        <v>45877</v>
      </c>
      <c r="B142" t="s">
        <v>29</v>
      </c>
      <c r="C142" s="2">
        <v>3600</v>
      </c>
      <c r="D142" t="s">
        <v>89</v>
      </c>
      <c r="E142" s="16" t="s">
        <v>90</v>
      </c>
      <c r="G142" s="7"/>
      <c r="I142" s="7"/>
      <c r="K142" t="str">
        <f t="shared" si="6"/>
        <v/>
      </c>
      <c r="L142" t="str">
        <f t="shared" si="7"/>
        <v/>
      </c>
      <c r="M142" t="str">
        <f t="shared" si="8"/>
        <v>2025-08</v>
      </c>
    </row>
    <row r="143" spans="1:13" x14ac:dyDescent="0.25">
      <c r="A143" s="1">
        <v>45877</v>
      </c>
      <c r="B143" t="s">
        <v>102</v>
      </c>
      <c r="C143" s="2">
        <v>880</v>
      </c>
      <c r="D143" t="s">
        <v>89</v>
      </c>
      <c r="E143" s="16" t="s">
        <v>90</v>
      </c>
      <c r="G143" s="7"/>
      <c r="I143" s="7"/>
      <c r="K143" t="str">
        <f t="shared" si="6"/>
        <v/>
      </c>
      <c r="L143" t="str">
        <f t="shared" si="7"/>
        <v/>
      </c>
      <c r="M143" t="str">
        <f t="shared" si="8"/>
        <v>2025-08</v>
      </c>
    </row>
    <row r="144" spans="1:13" x14ac:dyDescent="0.25">
      <c r="A144" s="1">
        <v>45877</v>
      </c>
      <c r="B144" t="s">
        <v>32</v>
      </c>
      <c r="C144" s="2">
        <v>7000</v>
      </c>
      <c r="D144" t="s">
        <v>89</v>
      </c>
      <c r="E144" s="16" t="s">
        <v>90</v>
      </c>
      <c r="G144" s="7"/>
      <c r="I144" s="7"/>
      <c r="K144" t="str">
        <f t="shared" si="6"/>
        <v/>
      </c>
      <c r="L144" t="str">
        <f t="shared" si="7"/>
        <v/>
      </c>
      <c r="M144" t="str">
        <f t="shared" si="8"/>
        <v>2025-08</v>
      </c>
    </row>
    <row r="145" spans="1:13" x14ac:dyDescent="0.25">
      <c r="A145" s="1">
        <v>45877</v>
      </c>
      <c r="B145" t="s">
        <v>34</v>
      </c>
      <c r="C145" s="2">
        <v>10350</v>
      </c>
      <c r="D145" t="s">
        <v>89</v>
      </c>
      <c r="E145" s="16" t="s">
        <v>90</v>
      </c>
      <c r="G145" s="7"/>
      <c r="I145" s="7"/>
      <c r="K145" t="str">
        <f t="shared" si="6"/>
        <v/>
      </c>
      <c r="L145" t="str">
        <f t="shared" si="7"/>
        <v/>
      </c>
      <c r="M145" t="str">
        <f t="shared" si="8"/>
        <v>2025-08</v>
      </c>
    </row>
    <row r="146" spans="1:13" x14ac:dyDescent="0.25">
      <c r="A146" s="1">
        <v>45880</v>
      </c>
      <c r="B146" t="s">
        <v>92</v>
      </c>
      <c r="C146" s="2">
        <v>4050</v>
      </c>
      <c r="D146" t="s">
        <v>89</v>
      </c>
      <c r="E146" s="16" t="s">
        <v>90</v>
      </c>
      <c r="G146" s="7"/>
      <c r="I146" s="7"/>
      <c r="K146" t="str">
        <f t="shared" si="6"/>
        <v/>
      </c>
      <c r="L146" t="str">
        <f t="shared" si="7"/>
        <v/>
      </c>
      <c r="M146" t="str">
        <f t="shared" si="8"/>
        <v>2025-08</v>
      </c>
    </row>
    <row r="147" spans="1:13" x14ac:dyDescent="0.25">
      <c r="A147" s="1">
        <v>45880</v>
      </c>
      <c r="B147" t="s">
        <v>98</v>
      </c>
      <c r="C147" s="2">
        <v>2260</v>
      </c>
      <c r="D147" t="s">
        <v>89</v>
      </c>
      <c r="E147" s="16" t="s">
        <v>90</v>
      </c>
      <c r="G147" s="7"/>
      <c r="I147" s="7"/>
      <c r="K147" t="str">
        <f t="shared" si="6"/>
        <v/>
      </c>
      <c r="L147" t="str">
        <f t="shared" si="7"/>
        <v/>
      </c>
      <c r="M147" t="str">
        <f t="shared" si="8"/>
        <v>2025-08</v>
      </c>
    </row>
    <row r="148" spans="1:13" x14ac:dyDescent="0.25">
      <c r="A148" s="1">
        <v>45880</v>
      </c>
      <c r="B148" t="s">
        <v>22</v>
      </c>
      <c r="C148" s="2">
        <v>480</v>
      </c>
      <c r="D148" t="s">
        <v>89</v>
      </c>
      <c r="E148" s="16" t="s">
        <v>90</v>
      </c>
      <c r="G148" s="7"/>
      <c r="I148" s="7"/>
      <c r="K148" t="str">
        <f t="shared" si="6"/>
        <v/>
      </c>
      <c r="L148" t="str">
        <f t="shared" si="7"/>
        <v/>
      </c>
      <c r="M148" t="str">
        <f t="shared" si="8"/>
        <v>2025-08</v>
      </c>
    </row>
    <row r="149" spans="1:13" x14ac:dyDescent="0.25">
      <c r="A149" s="1">
        <v>45880</v>
      </c>
      <c r="B149" t="s">
        <v>98</v>
      </c>
      <c r="C149" s="2">
        <v>2260</v>
      </c>
      <c r="D149" t="s">
        <v>89</v>
      </c>
      <c r="E149" s="16" t="s">
        <v>90</v>
      </c>
      <c r="G149" s="7"/>
      <c r="I149" s="7"/>
      <c r="K149" t="str">
        <f t="shared" si="6"/>
        <v/>
      </c>
      <c r="L149" t="str">
        <f t="shared" si="7"/>
        <v/>
      </c>
      <c r="M149" t="str">
        <f t="shared" si="8"/>
        <v>2025-08</v>
      </c>
    </row>
    <row r="150" spans="1:13" x14ac:dyDescent="0.25">
      <c r="A150" s="1">
        <v>45880</v>
      </c>
      <c r="B150" t="s">
        <v>98</v>
      </c>
      <c r="C150" s="2">
        <v>1130</v>
      </c>
      <c r="D150" t="s">
        <v>89</v>
      </c>
      <c r="E150" s="16" t="s">
        <v>90</v>
      </c>
      <c r="G150" s="7"/>
      <c r="I150" s="7"/>
      <c r="K150" t="str">
        <f t="shared" si="6"/>
        <v/>
      </c>
      <c r="L150" t="str">
        <f t="shared" si="7"/>
        <v/>
      </c>
      <c r="M150" t="str">
        <f t="shared" si="8"/>
        <v>2025-08</v>
      </c>
    </row>
    <row r="151" spans="1:13" x14ac:dyDescent="0.25">
      <c r="A151" s="1">
        <v>45880</v>
      </c>
      <c r="B151" t="s">
        <v>92</v>
      </c>
      <c r="C151" s="2">
        <v>1350</v>
      </c>
      <c r="D151" t="s">
        <v>89</v>
      </c>
      <c r="E151" s="16" t="s">
        <v>90</v>
      </c>
      <c r="G151" s="7"/>
      <c r="I151" s="7"/>
      <c r="K151" t="str">
        <f t="shared" si="6"/>
        <v/>
      </c>
      <c r="L151" t="str">
        <f t="shared" si="7"/>
        <v/>
      </c>
      <c r="M151" t="str">
        <f t="shared" si="8"/>
        <v>2025-08</v>
      </c>
    </row>
    <row r="152" spans="1:13" x14ac:dyDescent="0.25">
      <c r="A152" s="1">
        <v>45880</v>
      </c>
      <c r="B152" t="s">
        <v>92</v>
      </c>
      <c r="C152" s="2">
        <v>2800</v>
      </c>
      <c r="D152" t="s">
        <v>89</v>
      </c>
      <c r="E152" s="16" t="s">
        <v>90</v>
      </c>
      <c r="G152" s="7"/>
      <c r="I152" s="7"/>
      <c r="K152" t="str">
        <f t="shared" si="6"/>
        <v/>
      </c>
      <c r="L152" t="str">
        <f t="shared" si="7"/>
        <v/>
      </c>
      <c r="M152" t="str">
        <f t="shared" si="8"/>
        <v>2025-08</v>
      </c>
    </row>
    <row r="153" spans="1:13" x14ac:dyDescent="0.25">
      <c r="A153" s="1">
        <v>45880</v>
      </c>
      <c r="B153" t="s">
        <v>91</v>
      </c>
      <c r="C153" s="2">
        <v>4500</v>
      </c>
      <c r="D153" t="s">
        <v>89</v>
      </c>
      <c r="E153" s="16" t="s">
        <v>90</v>
      </c>
      <c r="G153" s="7"/>
      <c r="I153" s="7"/>
      <c r="K153" t="str">
        <f t="shared" si="6"/>
        <v/>
      </c>
      <c r="L153" t="str">
        <f t="shared" si="7"/>
        <v/>
      </c>
      <c r="M153" t="str">
        <f t="shared" si="8"/>
        <v>2025-08</v>
      </c>
    </row>
    <row r="154" spans="1:13" x14ac:dyDescent="0.25">
      <c r="A154" s="1">
        <v>45880</v>
      </c>
      <c r="B154" t="s">
        <v>35</v>
      </c>
      <c r="C154" s="2">
        <v>10000</v>
      </c>
      <c r="D154" t="s">
        <v>89</v>
      </c>
      <c r="E154" s="16" t="s">
        <v>90</v>
      </c>
      <c r="G154" s="7"/>
      <c r="I154" s="7"/>
      <c r="K154" t="str">
        <f t="shared" si="6"/>
        <v/>
      </c>
      <c r="L154" t="str">
        <f t="shared" si="7"/>
        <v/>
      </c>
      <c r="M154" t="str">
        <f t="shared" si="8"/>
        <v>2025-08</v>
      </c>
    </row>
    <row r="155" spans="1:13" x14ac:dyDescent="0.25">
      <c r="A155" s="1">
        <v>45880</v>
      </c>
      <c r="B155" t="s">
        <v>31</v>
      </c>
      <c r="C155" s="2">
        <v>10000</v>
      </c>
      <c r="D155" t="s">
        <v>89</v>
      </c>
      <c r="E155" s="16" t="s">
        <v>90</v>
      </c>
      <c r="G155" s="7"/>
      <c r="I155" s="7"/>
      <c r="K155" t="str">
        <f t="shared" si="6"/>
        <v/>
      </c>
      <c r="L155" t="str">
        <f t="shared" si="7"/>
        <v/>
      </c>
      <c r="M155" t="str">
        <f t="shared" si="8"/>
        <v>2025-08</v>
      </c>
    </row>
    <row r="156" spans="1:13" x14ac:dyDescent="0.25">
      <c r="A156" s="1">
        <v>45881</v>
      </c>
      <c r="B156" t="s">
        <v>92</v>
      </c>
      <c r="C156" s="2">
        <v>9450</v>
      </c>
      <c r="D156" t="s">
        <v>89</v>
      </c>
      <c r="E156" s="16" t="s">
        <v>90</v>
      </c>
      <c r="G156" s="7"/>
      <c r="I156" s="7"/>
      <c r="K156" t="str">
        <f t="shared" si="6"/>
        <v/>
      </c>
      <c r="L156" t="str">
        <f t="shared" si="7"/>
        <v/>
      </c>
      <c r="M156" t="str">
        <f t="shared" si="8"/>
        <v>2025-08</v>
      </c>
    </row>
    <row r="157" spans="1:13" x14ac:dyDescent="0.25">
      <c r="A157" s="1">
        <v>45882</v>
      </c>
      <c r="B157" t="s">
        <v>103</v>
      </c>
      <c r="C157" s="2">
        <v>10400</v>
      </c>
      <c r="D157" t="s">
        <v>89</v>
      </c>
      <c r="E157" s="16" t="s">
        <v>90</v>
      </c>
      <c r="G157" s="7"/>
      <c r="I157" s="7"/>
      <c r="K157" t="str">
        <f t="shared" si="6"/>
        <v/>
      </c>
      <c r="L157" t="str">
        <f t="shared" si="7"/>
        <v/>
      </c>
      <c r="M157" t="str">
        <f t="shared" si="8"/>
        <v>2025-08</v>
      </c>
    </row>
    <row r="158" spans="1:13" x14ac:dyDescent="0.25">
      <c r="A158" s="1">
        <v>45882</v>
      </c>
      <c r="B158" t="s">
        <v>29</v>
      </c>
      <c r="C158" s="2">
        <v>900</v>
      </c>
      <c r="D158" t="s">
        <v>89</v>
      </c>
      <c r="E158" s="16" t="s">
        <v>90</v>
      </c>
      <c r="G158" s="7"/>
      <c r="I158" s="7"/>
      <c r="K158" t="str">
        <f t="shared" si="6"/>
        <v/>
      </c>
      <c r="L158" t="str">
        <f t="shared" si="7"/>
        <v/>
      </c>
      <c r="M158" t="str">
        <f t="shared" si="8"/>
        <v>2025-08</v>
      </c>
    </row>
    <row r="159" spans="1:13" x14ac:dyDescent="0.25">
      <c r="A159" s="1">
        <v>45882</v>
      </c>
      <c r="B159" t="s">
        <v>29</v>
      </c>
      <c r="C159" s="2">
        <v>900</v>
      </c>
      <c r="D159" t="s">
        <v>89</v>
      </c>
      <c r="E159" s="16" t="s">
        <v>90</v>
      </c>
      <c r="G159" s="7"/>
      <c r="I159" s="7"/>
      <c r="K159" t="str">
        <f t="shared" si="6"/>
        <v/>
      </c>
      <c r="L159" t="str">
        <f t="shared" si="7"/>
        <v/>
      </c>
      <c r="M159" t="str">
        <f t="shared" si="8"/>
        <v>2025-08</v>
      </c>
    </row>
    <row r="160" spans="1:13" x14ac:dyDescent="0.25">
      <c r="A160" s="1">
        <v>45882</v>
      </c>
      <c r="B160" t="s">
        <v>97</v>
      </c>
      <c r="C160" s="2">
        <v>3000</v>
      </c>
      <c r="D160" t="s">
        <v>89</v>
      </c>
      <c r="E160" s="16" t="s">
        <v>90</v>
      </c>
      <c r="G160" s="7"/>
      <c r="I160" s="7"/>
      <c r="K160" t="str">
        <f t="shared" si="6"/>
        <v/>
      </c>
      <c r="L160" t="str">
        <f t="shared" si="7"/>
        <v/>
      </c>
      <c r="M160" t="str">
        <f t="shared" si="8"/>
        <v>2025-08</v>
      </c>
    </row>
    <row r="161" spans="1:13" x14ac:dyDescent="0.25">
      <c r="A161" s="1">
        <v>45882</v>
      </c>
      <c r="B161" t="s">
        <v>27</v>
      </c>
      <c r="C161" s="2">
        <v>1050</v>
      </c>
      <c r="D161" t="s">
        <v>89</v>
      </c>
      <c r="E161" s="16" t="s">
        <v>90</v>
      </c>
      <c r="G161" s="7"/>
      <c r="I161" s="7"/>
      <c r="K161" t="str">
        <f t="shared" si="6"/>
        <v/>
      </c>
      <c r="L161" t="str">
        <f t="shared" si="7"/>
        <v/>
      </c>
      <c r="M161" t="str">
        <f t="shared" si="8"/>
        <v>2025-08</v>
      </c>
    </row>
    <row r="162" spans="1:13" x14ac:dyDescent="0.25">
      <c r="A162" s="1">
        <v>45882</v>
      </c>
      <c r="B162" t="s">
        <v>10</v>
      </c>
      <c r="C162" s="2">
        <v>1200</v>
      </c>
      <c r="D162" t="s">
        <v>89</v>
      </c>
      <c r="E162" s="16" t="s">
        <v>90</v>
      </c>
      <c r="G162" s="7"/>
      <c r="I162" s="7"/>
      <c r="K162" t="str">
        <f t="shared" si="6"/>
        <v/>
      </c>
      <c r="L162" t="str">
        <f t="shared" si="7"/>
        <v/>
      </c>
      <c r="M162" t="str">
        <f t="shared" si="8"/>
        <v>2025-08</v>
      </c>
    </row>
    <row r="163" spans="1:13" x14ac:dyDescent="0.25">
      <c r="A163" s="1">
        <v>45882</v>
      </c>
      <c r="B163" t="s">
        <v>34</v>
      </c>
      <c r="C163" s="2">
        <v>16170</v>
      </c>
      <c r="D163" t="s">
        <v>89</v>
      </c>
      <c r="E163" s="16" t="s">
        <v>90</v>
      </c>
      <c r="G163" s="7"/>
      <c r="I163" s="7"/>
      <c r="K163" t="str">
        <f t="shared" si="6"/>
        <v/>
      </c>
      <c r="L163" t="str">
        <f t="shared" si="7"/>
        <v/>
      </c>
      <c r="M163" t="str">
        <f t="shared" si="8"/>
        <v>2025-08</v>
      </c>
    </row>
    <row r="164" spans="1:13" x14ac:dyDescent="0.25">
      <c r="A164" s="1">
        <v>45883</v>
      </c>
      <c r="B164" t="s">
        <v>29</v>
      </c>
      <c r="C164" s="2">
        <v>1800</v>
      </c>
      <c r="D164" t="s">
        <v>89</v>
      </c>
      <c r="E164" s="16" t="s">
        <v>90</v>
      </c>
      <c r="G164" s="7"/>
      <c r="I164" s="7"/>
      <c r="K164" t="str">
        <f t="shared" si="6"/>
        <v/>
      </c>
      <c r="L164" t="str">
        <f t="shared" si="7"/>
        <v/>
      </c>
      <c r="M164" t="str">
        <f t="shared" si="8"/>
        <v>2025-08</v>
      </c>
    </row>
    <row r="165" spans="1:13" x14ac:dyDescent="0.25">
      <c r="A165" s="1">
        <v>45883</v>
      </c>
      <c r="B165" t="s">
        <v>91</v>
      </c>
      <c r="C165" s="2">
        <v>9300</v>
      </c>
      <c r="D165" t="s">
        <v>89</v>
      </c>
      <c r="E165" s="16" t="s">
        <v>90</v>
      </c>
      <c r="G165" s="7"/>
      <c r="I165" s="7"/>
      <c r="K165" t="str">
        <f t="shared" si="6"/>
        <v/>
      </c>
      <c r="L165" t="str">
        <f t="shared" si="7"/>
        <v/>
      </c>
      <c r="M165" t="str">
        <f t="shared" si="8"/>
        <v>2025-08</v>
      </c>
    </row>
    <row r="166" spans="1:13" x14ac:dyDescent="0.25">
      <c r="A166" s="1">
        <v>45883</v>
      </c>
      <c r="B166" t="s">
        <v>91</v>
      </c>
      <c r="C166" s="2">
        <v>9000</v>
      </c>
      <c r="D166" t="s">
        <v>89</v>
      </c>
      <c r="E166" s="16" t="s">
        <v>90</v>
      </c>
      <c r="G166" s="7"/>
      <c r="I166" s="7"/>
      <c r="K166" t="str">
        <f t="shared" si="6"/>
        <v/>
      </c>
      <c r="L166" t="str">
        <f t="shared" si="7"/>
        <v/>
      </c>
      <c r="M166" t="str">
        <f t="shared" si="8"/>
        <v>2025-08</v>
      </c>
    </row>
    <row r="167" spans="1:13" x14ac:dyDescent="0.25">
      <c r="A167" s="1">
        <v>45883</v>
      </c>
      <c r="B167" t="s">
        <v>91</v>
      </c>
      <c r="C167" s="2">
        <v>3000</v>
      </c>
      <c r="D167" t="s">
        <v>89</v>
      </c>
      <c r="E167" s="16" t="s">
        <v>90</v>
      </c>
      <c r="G167" s="7"/>
      <c r="I167" s="7"/>
      <c r="K167" t="str">
        <f t="shared" si="6"/>
        <v/>
      </c>
      <c r="L167" t="str">
        <f t="shared" si="7"/>
        <v/>
      </c>
      <c r="M167" t="str">
        <f t="shared" si="8"/>
        <v>2025-08</v>
      </c>
    </row>
    <row r="168" spans="1:13" x14ac:dyDescent="0.25">
      <c r="A168" s="1">
        <v>45884</v>
      </c>
      <c r="B168" t="s">
        <v>31</v>
      </c>
      <c r="C168" s="2">
        <v>6850</v>
      </c>
      <c r="D168" t="s">
        <v>89</v>
      </c>
      <c r="E168" s="16" t="s">
        <v>90</v>
      </c>
      <c r="G168" s="7"/>
      <c r="I168" s="7"/>
      <c r="K168" t="str">
        <f t="shared" si="6"/>
        <v/>
      </c>
      <c r="L168" t="str">
        <f t="shared" si="7"/>
        <v/>
      </c>
      <c r="M168" t="str">
        <f t="shared" si="8"/>
        <v>2025-08</v>
      </c>
    </row>
    <row r="169" spans="1:13" x14ac:dyDescent="0.25">
      <c r="A169" s="1">
        <v>45884</v>
      </c>
      <c r="B169" t="s">
        <v>28</v>
      </c>
      <c r="C169" s="2">
        <v>7500</v>
      </c>
      <c r="D169" t="s">
        <v>89</v>
      </c>
      <c r="E169" s="16" t="s">
        <v>90</v>
      </c>
      <c r="G169" s="7"/>
      <c r="I169" s="7"/>
      <c r="K169" t="str">
        <f t="shared" si="6"/>
        <v/>
      </c>
      <c r="L169" t="str">
        <f t="shared" si="7"/>
        <v/>
      </c>
      <c r="M169" t="str">
        <f t="shared" si="8"/>
        <v>2025-08</v>
      </c>
    </row>
    <row r="170" spans="1:13" x14ac:dyDescent="0.25">
      <c r="A170" s="1">
        <v>45884</v>
      </c>
      <c r="B170" t="s">
        <v>92</v>
      </c>
      <c r="C170" s="2">
        <v>1350</v>
      </c>
      <c r="D170" t="s">
        <v>89</v>
      </c>
      <c r="E170" s="16" t="s">
        <v>90</v>
      </c>
      <c r="G170" s="7"/>
      <c r="I170" s="7"/>
      <c r="K170" t="str">
        <f t="shared" si="6"/>
        <v/>
      </c>
      <c r="L170" t="str">
        <f t="shared" si="7"/>
        <v/>
      </c>
      <c r="M170" t="str">
        <f t="shared" si="8"/>
        <v>2025-08</v>
      </c>
    </row>
    <row r="171" spans="1:13" x14ac:dyDescent="0.25">
      <c r="A171" s="1">
        <v>45884</v>
      </c>
      <c r="B171" t="s">
        <v>98</v>
      </c>
      <c r="C171" s="2">
        <v>4520</v>
      </c>
      <c r="D171" t="s">
        <v>89</v>
      </c>
      <c r="E171" s="16" t="s">
        <v>90</v>
      </c>
      <c r="G171" s="7"/>
      <c r="I171" s="7"/>
      <c r="K171" t="str">
        <f t="shared" si="6"/>
        <v/>
      </c>
      <c r="L171" t="str">
        <f t="shared" si="7"/>
        <v/>
      </c>
      <c r="M171" t="str">
        <f t="shared" si="8"/>
        <v>2025-08</v>
      </c>
    </row>
    <row r="172" spans="1:13" x14ac:dyDescent="0.25">
      <c r="A172" s="1">
        <v>45884</v>
      </c>
      <c r="B172" t="s">
        <v>17</v>
      </c>
      <c r="C172" s="2">
        <v>800</v>
      </c>
      <c r="D172" t="s">
        <v>89</v>
      </c>
      <c r="E172" s="16" t="s">
        <v>90</v>
      </c>
      <c r="G172" s="7"/>
      <c r="I172" s="7"/>
      <c r="K172" t="str">
        <f t="shared" si="6"/>
        <v/>
      </c>
      <c r="L172" t="str">
        <f t="shared" si="7"/>
        <v/>
      </c>
      <c r="M172" t="str">
        <f t="shared" si="8"/>
        <v>2025-08</v>
      </c>
    </row>
    <row r="173" spans="1:13" x14ac:dyDescent="0.25">
      <c r="A173" s="1">
        <v>45884</v>
      </c>
      <c r="B173" t="s">
        <v>94</v>
      </c>
      <c r="C173" s="2">
        <v>1000</v>
      </c>
      <c r="D173" t="s">
        <v>89</v>
      </c>
      <c r="E173" s="16" t="s">
        <v>90</v>
      </c>
      <c r="G173" s="7"/>
      <c r="I173" s="7"/>
      <c r="K173" t="str">
        <f t="shared" si="6"/>
        <v/>
      </c>
      <c r="L173" t="str">
        <f t="shared" si="7"/>
        <v/>
      </c>
      <c r="M173" t="str">
        <f t="shared" si="8"/>
        <v>2025-08</v>
      </c>
    </row>
    <row r="174" spans="1:13" x14ac:dyDescent="0.25">
      <c r="A174" s="1">
        <v>45884</v>
      </c>
      <c r="B174" t="s">
        <v>99</v>
      </c>
      <c r="C174" s="2">
        <v>4400</v>
      </c>
      <c r="D174" t="s">
        <v>89</v>
      </c>
      <c r="E174" s="16" t="s">
        <v>90</v>
      </c>
      <c r="G174" s="7"/>
      <c r="I174" s="7"/>
      <c r="K174" t="str">
        <f t="shared" si="6"/>
        <v/>
      </c>
      <c r="L174" t="str">
        <f t="shared" si="7"/>
        <v/>
      </c>
      <c r="M174" t="str">
        <f t="shared" si="8"/>
        <v>2025-08</v>
      </c>
    </row>
    <row r="175" spans="1:13" x14ac:dyDescent="0.25">
      <c r="A175" s="1">
        <v>45884</v>
      </c>
      <c r="B175" t="s">
        <v>99</v>
      </c>
      <c r="C175" s="2">
        <v>1100</v>
      </c>
      <c r="D175" t="s">
        <v>89</v>
      </c>
      <c r="E175" s="16" t="s">
        <v>90</v>
      </c>
      <c r="G175" s="7"/>
      <c r="I175" s="7"/>
      <c r="K175" t="str">
        <f t="shared" si="6"/>
        <v/>
      </c>
      <c r="L175" t="str">
        <f t="shared" si="7"/>
        <v/>
      </c>
      <c r="M175" t="str">
        <f t="shared" si="8"/>
        <v>2025-08</v>
      </c>
    </row>
    <row r="176" spans="1:13" x14ac:dyDescent="0.25">
      <c r="A176" s="1">
        <v>45884</v>
      </c>
      <c r="B176" t="s">
        <v>28</v>
      </c>
      <c r="C176" s="2">
        <v>15000</v>
      </c>
      <c r="D176" t="s">
        <v>89</v>
      </c>
      <c r="E176" s="16" t="s">
        <v>90</v>
      </c>
      <c r="G176" s="7"/>
      <c r="I176" s="7"/>
      <c r="K176" t="str">
        <f t="shared" si="6"/>
        <v/>
      </c>
      <c r="L176" t="str">
        <f t="shared" si="7"/>
        <v/>
      </c>
      <c r="M176" t="str">
        <f t="shared" si="8"/>
        <v>2025-08</v>
      </c>
    </row>
    <row r="177" spans="1:13" x14ac:dyDescent="0.25">
      <c r="A177" s="1">
        <v>45884</v>
      </c>
      <c r="B177" t="s">
        <v>29</v>
      </c>
      <c r="C177" s="2">
        <v>1800</v>
      </c>
      <c r="D177" t="s">
        <v>89</v>
      </c>
      <c r="E177" s="16" t="s">
        <v>90</v>
      </c>
      <c r="G177" s="7"/>
      <c r="I177" s="7"/>
      <c r="K177" t="str">
        <f t="shared" si="6"/>
        <v/>
      </c>
      <c r="L177" t="str">
        <f t="shared" si="7"/>
        <v/>
      </c>
      <c r="M177" t="str">
        <f t="shared" si="8"/>
        <v>2025-08</v>
      </c>
    </row>
    <row r="178" spans="1:13" x14ac:dyDescent="0.25">
      <c r="A178" s="1">
        <v>45887</v>
      </c>
      <c r="B178" t="s">
        <v>98</v>
      </c>
      <c r="C178" s="2">
        <v>1130</v>
      </c>
      <c r="D178" t="s">
        <v>89</v>
      </c>
      <c r="E178" s="16" t="s">
        <v>90</v>
      </c>
      <c r="G178" s="7"/>
      <c r="I178" s="7"/>
      <c r="K178" t="str">
        <f t="shared" si="6"/>
        <v/>
      </c>
      <c r="L178" t="str">
        <f t="shared" si="7"/>
        <v/>
      </c>
      <c r="M178" t="str">
        <f t="shared" si="8"/>
        <v>2025-08</v>
      </c>
    </row>
    <row r="179" spans="1:13" x14ac:dyDescent="0.25">
      <c r="A179" s="1">
        <v>45887</v>
      </c>
      <c r="B179" t="s">
        <v>32</v>
      </c>
      <c r="C179" s="2">
        <v>5500</v>
      </c>
      <c r="D179" t="s">
        <v>89</v>
      </c>
      <c r="E179" s="16" t="s">
        <v>90</v>
      </c>
      <c r="G179" s="7"/>
      <c r="I179" s="7"/>
      <c r="K179" t="str">
        <f t="shared" si="6"/>
        <v/>
      </c>
      <c r="L179" t="str">
        <f t="shared" si="7"/>
        <v/>
      </c>
      <c r="M179" t="str">
        <f t="shared" si="8"/>
        <v>2025-08</v>
      </c>
    </row>
    <row r="180" spans="1:13" x14ac:dyDescent="0.25">
      <c r="A180" s="1">
        <v>45887</v>
      </c>
      <c r="B180" t="s">
        <v>29</v>
      </c>
      <c r="C180" s="2">
        <v>900</v>
      </c>
      <c r="D180" t="s">
        <v>89</v>
      </c>
      <c r="E180" s="16" t="s">
        <v>90</v>
      </c>
      <c r="G180" s="7"/>
      <c r="I180" s="7"/>
      <c r="K180" t="str">
        <f t="shared" si="6"/>
        <v/>
      </c>
      <c r="L180" t="str">
        <f t="shared" si="7"/>
        <v/>
      </c>
      <c r="M180" t="str">
        <f t="shared" si="8"/>
        <v>2025-08</v>
      </c>
    </row>
    <row r="181" spans="1:13" x14ac:dyDescent="0.25">
      <c r="A181" s="1">
        <v>45887</v>
      </c>
      <c r="B181" t="s">
        <v>92</v>
      </c>
      <c r="C181" s="2">
        <v>2700</v>
      </c>
      <c r="D181" t="s">
        <v>89</v>
      </c>
      <c r="E181" s="16" t="s">
        <v>90</v>
      </c>
      <c r="G181" s="7"/>
      <c r="I181" s="7"/>
      <c r="K181" t="str">
        <f t="shared" si="6"/>
        <v/>
      </c>
      <c r="L181" t="str">
        <f t="shared" si="7"/>
        <v/>
      </c>
      <c r="M181" t="str">
        <f t="shared" si="8"/>
        <v>2025-08</v>
      </c>
    </row>
    <row r="182" spans="1:13" x14ac:dyDescent="0.25">
      <c r="A182" s="1">
        <v>45888</v>
      </c>
      <c r="B182" t="s">
        <v>29</v>
      </c>
      <c r="C182" s="2">
        <v>900</v>
      </c>
      <c r="D182" t="s">
        <v>89</v>
      </c>
      <c r="E182" s="16" t="s">
        <v>90</v>
      </c>
      <c r="G182" s="7"/>
      <c r="I182" s="7"/>
      <c r="K182" t="str">
        <f t="shared" si="6"/>
        <v/>
      </c>
      <c r="L182" t="str">
        <f t="shared" si="7"/>
        <v/>
      </c>
      <c r="M182" t="str">
        <f t="shared" si="8"/>
        <v>2025-08</v>
      </c>
    </row>
    <row r="183" spans="1:13" x14ac:dyDescent="0.25">
      <c r="A183" s="1">
        <v>45888</v>
      </c>
      <c r="B183" t="s">
        <v>92</v>
      </c>
      <c r="C183" s="2">
        <v>2700</v>
      </c>
      <c r="D183" t="s">
        <v>89</v>
      </c>
      <c r="E183" s="16" t="s">
        <v>90</v>
      </c>
      <c r="G183" s="7"/>
      <c r="I183" s="7"/>
      <c r="K183" t="str">
        <f t="shared" si="6"/>
        <v/>
      </c>
      <c r="L183" t="str">
        <f t="shared" si="7"/>
        <v/>
      </c>
      <c r="M183" t="str">
        <f t="shared" si="8"/>
        <v>2025-08</v>
      </c>
    </row>
    <row r="184" spans="1:13" x14ac:dyDescent="0.25">
      <c r="A184" s="1">
        <v>45888</v>
      </c>
      <c r="B184" t="s">
        <v>100</v>
      </c>
      <c r="C184" s="2">
        <v>1000</v>
      </c>
      <c r="D184" t="s">
        <v>89</v>
      </c>
      <c r="E184" s="16" t="s">
        <v>90</v>
      </c>
      <c r="G184" s="7"/>
      <c r="I184" s="7"/>
      <c r="K184" t="str">
        <f t="shared" si="6"/>
        <v/>
      </c>
      <c r="L184" t="str">
        <f t="shared" si="7"/>
        <v/>
      </c>
      <c r="M184" t="str">
        <f t="shared" si="8"/>
        <v>2025-08</v>
      </c>
    </row>
    <row r="185" spans="1:13" x14ac:dyDescent="0.25">
      <c r="A185" s="1">
        <v>45888</v>
      </c>
      <c r="B185" t="s">
        <v>91</v>
      </c>
      <c r="C185" s="2">
        <v>7500</v>
      </c>
      <c r="D185" t="s">
        <v>89</v>
      </c>
      <c r="E185" s="16" t="s">
        <v>90</v>
      </c>
      <c r="G185" s="7"/>
      <c r="I185" s="7"/>
      <c r="K185" t="str">
        <f t="shared" si="6"/>
        <v/>
      </c>
      <c r="L185" t="str">
        <f t="shared" si="7"/>
        <v/>
      </c>
      <c r="M185" t="str">
        <f t="shared" si="8"/>
        <v>2025-08</v>
      </c>
    </row>
    <row r="186" spans="1:13" x14ac:dyDescent="0.25">
      <c r="A186" s="1">
        <v>45888</v>
      </c>
      <c r="B186" t="s">
        <v>92</v>
      </c>
      <c r="C186" s="2">
        <v>2700</v>
      </c>
      <c r="D186" t="s">
        <v>89</v>
      </c>
      <c r="E186" s="16" t="s">
        <v>90</v>
      </c>
      <c r="G186" s="7"/>
      <c r="I186" s="7"/>
      <c r="K186" t="str">
        <f t="shared" si="6"/>
        <v/>
      </c>
      <c r="L186" t="str">
        <f t="shared" si="7"/>
        <v/>
      </c>
      <c r="M186" t="str">
        <f t="shared" si="8"/>
        <v>2025-08</v>
      </c>
    </row>
    <row r="187" spans="1:13" x14ac:dyDescent="0.25">
      <c r="A187" s="1">
        <v>45888</v>
      </c>
      <c r="B187" t="s">
        <v>92</v>
      </c>
      <c r="C187" s="2">
        <v>4050</v>
      </c>
      <c r="D187" t="s">
        <v>89</v>
      </c>
      <c r="E187" s="16" t="s">
        <v>90</v>
      </c>
      <c r="G187" s="7"/>
      <c r="I187" s="7"/>
      <c r="K187" t="str">
        <f t="shared" si="6"/>
        <v/>
      </c>
      <c r="L187" t="str">
        <f t="shared" si="7"/>
        <v/>
      </c>
      <c r="M187" t="str">
        <f t="shared" si="8"/>
        <v>2025-08</v>
      </c>
    </row>
    <row r="188" spans="1:13" x14ac:dyDescent="0.25">
      <c r="A188" s="1">
        <v>45888</v>
      </c>
      <c r="B188" t="s">
        <v>92</v>
      </c>
      <c r="C188" s="2">
        <v>1350</v>
      </c>
      <c r="D188" t="s">
        <v>89</v>
      </c>
      <c r="E188" s="16" t="s">
        <v>90</v>
      </c>
      <c r="G188" s="7"/>
      <c r="I188" s="7"/>
      <c r="K188" t="str">
        <f t="shared" si="6"/>
        <v/>
      </c>
      <c r="L188" t="str">
        <f t="shared" si="7"/>
        <v/>
      </c>
      <c r="M188" t="str">
        <f t="shared" si="8"/>
        <v>2025-08</v>
      </c>
    </row>
    <row r="189" spans="1:13" x14ac:dyDescent="0.25">
      <c r="A189" s="1">
        <v>45888</v>
      </c>
      <c r="B189" t="s">
        <v>34</v>
      </c>
      <c r="C189" s="2">
        <v>6300</v>
      </c>
      <c r="D189" t="s">
        <v>89</v>
      </c>
      <c r="E189" s="16" t="s">
        <v>90</v>
      </c>
      <c r="G189" s="7"/>
      <c r="I189" s="7"/>
      <c r="K189" t="str">
        <f t="shared" si="6"/>
        <v/>
      </c>
      <c r="L189" t="str">
        <f t="shared" si="7"/>
        <v/>
      </c>
      <c r="M189" t="str">
        <f t="shared" si="8"/>
        <v>2025-08</v>
      </c>
    </row>
    <row r="190" spans="1:13" x14ac:dyDescent="0.25">
      <c r="A190" s="1">
        <v>45888</v>
      </c>
      <c r="B190" t="s">
        <v>26</v>
      </c>
      <c r="C190" s="2">
        <v>6300</v>
      </c>
      <c r="D190" t="s">
        <v>89</v>
      </c>
      <c r="E190" s="16" t="s">
        <v>90</v>
      </c>
      <c r="G190" s="7"/>
      <c r="I190" s="7"/>
      <c r="K190" t="str">
        <f t="shared" si="6"/>
        <v/>
      </c>
      <c r="L190" t="str">
        <f t="shared" si="7"/>
        <v/>
      </c>
      <c r="M190" t="str">
        <f t="shared" si="8"/>
        <v>2025-08</v>
      </c>
    </row>
    <row r="191" spans="1:13" x14ac:dyDescent="0.25">
      <c r="A191" s="1">
        <v>45889</v>
      </c>
      <c r="B191" t="s">
        <v>32</v>
      </c>
      <c r="C191" s="2">
        <v>1100</v>
      </c>
      <c r="D191" t="s">
        <v>89</v>
      </c>
      <c r="E191" s="16" t="s">
        <v>90</v>
      </c>
      <c r="G191" s="7"/>
      <c r="I191" s="7"/>
      <c r="K191" t="str">
        <f t="shared" si="6"/>
        <v/>
      </c>
      <c r="L191" t="str">
        <f t="shared" si="7"/>
        <v/>
      </c>
      <c r="M191" t="str">
        <f t="shared" si="8"/>
        <v>2025-08</v>
      </c>
    </row>
    <row r="192" spans="1:13" x14ac:dyDescent="0.25">
      <c r="A192" s="1">
        <v>45889</v>
      </c>
      <c r="B192" t="s">
        <v>92</v>
      </c>
      <c r="C192" s="2">
        <v>1350</v>
      </c>
      <c r="D192" t="s">
        <v>89</v>
      </c>
      <c r="E192" s="16" t="s">
        <v>90</v>
      </c>
      <c r="G192" s="7"/>
      <c r="I192" s="7"/>
      <c r="K192" t="str">
        <f t="shared" si="6"/>
        <v/>
      </c>
      <c r="L192" t="str">
        <f t="shared" si="7"/>
        <v/>
      </c>
      <c r="M192" t="str">
        <f t="shared" si="8"/>
        <v>2025-08</v>
      </c>
    </row>
    <row r="193" spans="1:13" x14ac:dyDescent="0.25">
      <c r="A193" s="1">
        <v>45889</v>
      </c>
      <c r="B193" t="s">
        <v>92</v>
      </c>
      <c r="C193" s="2">
        <v>1350</v>
      </c>
      <c r="D193" t="s">
        <v>89</v>
      </c>
      <c r="E193" s="16" t="s">
        <v>90</v>
      </c>
      <c r="G193" s="7"/>
      <c r="I193" s="7"/>
      <c r="K193" t="str">
        <f t="shared" si="6"/>
        <v/>
      </c>
      <c r="L193" t="str">
        <f t="shared" si="7"/>
        <v/>
      </c>
      <c r="M193" t="str">
        <f t="shared" si="8"/>
        <v>2025-08</v>
      </c>
    </row>
    <row r="194" spans="1:13" x14ac:dyDescent="0.25">
      <c r="A194" s="1">
        <v>45889</v>
      </c>
      <c r="B194" t="s">
        <v>92</v>
      </c>
      <c r="C194" s="2">
        <v>8100</v>
      </c>
      <c r="D194" t="s">
        <v>89</v>
      </c>
      <c r="E194" s="16" t="s">
        <v>90</v>
      </c>
      <c r="G194" s="7"/>
      <c r="I194" s="7"/>
      <c r="K194" t="str">
        <f t="shared" ref="K194:K257" si="9">IF(AND(L194&lt;&gt;"",C194&gt;0),L194/C194,"")</f>
        <v/>
      </c>
      <c r="L194" t="str">
        <f t="shared" ref="L194:L257" si="10">IF(AND(D194="FINALIZADO",H194&lt;&gt;""),VALUE(LEFT(H194,FIND("h",H194)-1))*60+VALUE(MID(H194,FIND("h",H194)+2,FIND("min",H194)-FIND("h",H194)-2)),"")</f>
        <v/>
      </c>
      <c r="M194" t="str">
        <f t="shared" ref="M194:M257" si="11">TEXT(YEAR(A194),"0000")&amp;"-"&amp;TEXT(MONTH(A194),"00")</f>
        <v>2025-08</v>
      </c>
    </row>
    <row r="195" spans="1:13" x14ac:dyDescent="0.25">
      <c r="A195" s="1">
        <v>45889</v>
      </c>
      <c r="B195" t="s">
        <v>33</v>
      </c>
      <c r="C195" s="2">
        <v>10400</v>
      </c>
      <c r="D195" t="s">
        <v>89</v>
      </c>
      <c r="E195" s="16" t="s">
        <v>90</v>
      </c>
      <c r="G195" s="7"/>
      <c r="I195" s="7"/>
      <c r="K195" t="str">
        <f t="shared" si="9"/>
        <v/>
      </c>
      <c r="L195" t="str">
        <f t="shared" si="10"/>
        <v/>
      </c>
      <c r="M195" t="str">
        <f t="shared" si="11"/>
        <v>2025-08</v>
      </c>
    </row>
    <row r="196" spans="1:13" x14ac:dyDescent="0.25">
      <c r="A196" s="1">
        <v>45889</v>
      </c>
      <c r="B196" t="s">
        <v>91</v>
      </c>
      <c r="C196" s="2">
        <v>4500</v>
      </c>
      <c r="D196" t="s">
        <v>89</v>
      </c>
      <c r="E196" s="16" t="s">
        <v>90</v>
      </c>
      <c r="G196" s="7"/>
      <c r="I196" s="7"/>
      <c r="K196" t="str">
        <f t="shared" si="9"/>
        <v/>
      </c>
      <c r="L196" t="str">
        <f t="shared" si="10"/>
        <v/>
      </c>
      <c r="M196" t="str">
        <f t="shared" si="11"/>
        <v>2025-08</v>
      </c>
    </row>
    <row r="197" spans="1:13" x14ac:dyDescent="0.25">
      <c r="A197" s="1">
        <v>45890</v>
      </c>
      <c r="B197" t="s">
        <v>9</v>
      </c>
      <c r="C197" s="2">
        <v>900</v>
      </c>
      <c r="D197" t="s">
        <v>89</v>
      </c>
      <c r="E197" s="16" t="s">
        <v>90</v>
      </c>
      <c r="G197" s="7"/>
      <c r="I197" s="7"/>
      <c r="K197" t="str">
        <f t="shared" si="9"/>
        <v/>
      </c>
      <c r="L197" t="str">
        <f t="shared" si="10"/>
        <v/>
      </c>
      <c r="M197" t="str">
        <f t="shared" si="11"/>
        <v>2025-08</v>
      </c>
    </row>
    <row r="198" spans="1:13" x14ac:dyDescent="0.25">
      <c r="A198" s="1">
        <v>45890</v>
      </c>
      <c r="B198" t="s">
        <v>22</v>
      </c>
      <c r="C198" s="2">
        <v>1000</v>
      </c>
      <c r="D198" t="s">
        <v>89</v>
      </c>
      <c r="E198" s="16" t="s">
        <v>90</v>
      </c>
      <c r="G198" s="7"/>
      <c r="I198" s="7"/>
      <c r="K198" t="str">
        <f t="shared" si="9"/>
        <v/>
      </c>
      <c r="L198" t="str">
        <f t="shared" si="10"/>
        <v/>
      </c>
      <c r="M198" t="str">
        <f t="shared" si="11"/>
        <v>2025-08</v>
      </c>
    </row>
    <row r="199" spans="1:13" x14ac:dyDescent="0.25">
      <c r="A199" s="1">
        <v>45890</v>
      </c>
      <c r="B199" t="s">
        <v>92</v>
      </c>
      <c r="C199" s="2">
        <v>1350</v>
      </c>
      <c r="D199" t="s">
        <v>89</v>
      </c>
      <c r="E199" s="16" t="s">
        <v>90</v>
      </c>
      <c r="G199" s="7"/>
      <c r="I199" s="7"/>
      <c r="K199" t="str">
        <f t="shared" si="9"/>
        <v/>
      </c>
      <c r="L199" t="str">
        <f t="shared" si="10"/>
        <v/>
      </c>
      <c r="M199" t="str">
        <f t="shared" si="11"/>
        <v>2025-08</v>
      </c>
    </row>
    <row r="200" spans="1:13" x14ac:dyDescent="0.25">
      <c r="A200" s="1">
        <v>45890</v>
      </c>
      <c r="B200" t="s">
        <v>29</v>
      </c>
      <c r="C200" s="2">
        <v>900</v>
      </c>
      <c r="D200" t="s">
        <v>89</v>
      </c>
      <c r="E200" s="16" t="s">
        <v>90</v>
      </c>
      <c r="G200" s="7"/>
      <c r="I200" s="7"/>
      <c r="K200" t="str">
        <f t="shared" si="9"/>
        <v/>
      </c>
      <c r="L200" t="str">
        <f t="shared" si="10"/>
        <v/>
      </c>
      <c r="M200" t="str">
        <f t="shared" si="11"/>
        <v>2025-08</v>
      </c>
    </row>
    <row r="201" spans="1:13" x14ac:dyDescent="0.25">
      <c r="A201" s="1">
        <v>45890</v>
      </c>
      <c r="B201" t="s">
        <v>92</v>
      </c>
      <c r="C201" s="2">
        <v>5400</v>
      </c>
      <c r="D201" t="s">
        <v>89</v>
      </c>
      <c r="E201" s="16" t="s">
        <v>90</v>
      </c>
      <c r="G201" s="7"/>
      <c r="I201" s="7"/>
      <c r="K201" t="str">
        <f t="shared" si="9"/>
        <v/>
      </c>
      <c r="L201" t="str">
        <f t="shared" si="10"/>
        <v/>
      </c>
      <c r="M201" t="str">
        <f t="shared" si="11"/>
        <v>2025-08</v>
      </c>
    </row>
    <row r="202" spans="1:13" x14ac:dyDescent="0.25">
      <c r="A202" s="1">
        <v>45890</v>
      </c>
      <c r="B202" t="s">
        <v>99</v>
      </c>
      <c r="C202" s="2">
        <v>5500</v>
      </c>
      <c r="D202" t="s">
        <v>89</v>
      </c>
      <c r="E202" s="16" t="s">
        <v>90</v>
      </c>
      <c r="G202" s="7"/>
      <c r="I202" s="7"/>
      <c r="K202" t="str">
        <f t="shared" si="9"/>
        <v/>
      </c>
      <c r="L202" t="str">
        <f t="shared" si="10"/>
        <v/>
      </c>
      <c r="M202" t="str">
        <f t="shared" si="11"/>
        <v>2025-08</v>
      </c>
    </row>
    <row r="203" spans="1:13" x14ac:dyDescent="0.25">
      <c r="A203" s="1">
        <v>45890</v>
      </c>
      <c r="B203" t="s">
        <v>27</v>
      </c>
      <c r="C203" s="2">
        <v>1050</v>
      </c>
      <c r="D203" t="s">
        <v>89</v>
      </c>
      <c r="E203" s="16" t="s">
        <v>90</v>
      </c>
      <c r="G203" s="7"/>
      <c r="I203" s="7"/>
      <c r="K203" t="str">
        <f t="shared" si="9"/>
        <v/>
      </c>
      <c r="L203" t="str">
        <f t="shared" si="10"/>
        <v/>
      </c>
      <c r="M203" t="str">
        <f t="shared" si="11"/>
        <v>2025-08</v>
      </c>
    </row>
    <row r="204" spans="1:13" x14ac:dyDescent="0.25">
      <c r="A204" s="1">
        <v>45890</v>
      </c>
      <c r="B204" t="s">
        <v>28</v>
      </c>
      <c r="C204" s="2">
        <v>4500</v>
      </c>
      <c r="D204" t="s">
        <v>89</v>
      </c>
      <c r="E204" s="16" t="s">
        <v>90</v>
      </c>
      <c r="G204" s="7"/>
      <c r="I204" s="7"/>
      <c r="K204" t="str">
        <f t="shared" si="9"/>
        <v/>
      </c>
      <c r="L204" t="str">
        <f t="shared" si="10"/>
        <v/>
      </c>
      <c r="M204" t="str">
        <f t="shared" si="11"/>
        <v>2025-08</v>
      </c>
    </row>
    <row r="205" spans="1:13" x14ac:dyDescent="0.25">
      <c r="A205" s="1">
        <v>45891</v>
      </c>
      <c r="B205" t="s">
        <v>92</v>
      </c>
      <c r="C205" s="2">
        <v>1350</v>
      </c>
      <c r="D205" t="s">
        <v>89</v>
      </c>
      <c r="E205" s="16" t="s">
        <v>90</v>
      </c>
      <c r="G205" s="7"/>
      <c r="I205" s="7"/>
      <c r="K205" t="str">
        <f t="shared" si="9"/>
        <v/>
      </c>
      <c r="L205" t="str">
        <f t="shared" si="10"/>
        <v/>
      </c>
      <c r="M205" t="str">
        <f t="shared" si="11"/>
        <v>2025-08</v>
      </c>
    </row>
    <row r="206" spans="1:13" x14ac:dyDescent="0.25">
      <c r="A206" s="1">
        <v>45891</v>
      </c>
      <c r="B206" t="s">
        <v>97</v>
      </c>
      <c r="C206" s="2">
        <v>3600</v>
      </c>
      <c r="D206" t="s">
        <v>89</v>
      </c>
      <c r="E206" s="16" t="s">
        <v>90</v>
      </c>
      <c r="G206" s="7"/>
      <c r="I206" s="7"/>
      <c r="K206" t="str">
        <f t="shared" si="9"/>
        <v/>
      </c>
      <c r="L206" t="str">
        <f t="shared" si="10"/>
        <v/>
      </c>
      <c r="M206" t="str">
        <f t="shared" si="11"/>
        <v>2025-08</v>
      </c>
    </row>
    <row r="207" spans="1:13" x14ac:dyDescent="0.25">
      <c r="A207" s="1">
        <v>45891</v>
      </c>
      <c r="B207" t="s">
        <v>7</v>
      </c>
      <c r="C207" s="2">
        <v>1000</v>
      </c>
      <c r="D207" t="s">
        <v>89</v>
      </c>
      <c r="E207" s="16" t="s">
        <v>90</v>
      </c>
      <c r="G207" s="7"/>
      <c r="I207" s="7"/>
      <c r="K207" t="str">
        <f t="shared" si="9"/>
        <v/>
      </c>
      <c r="L207" t="str">
        <f t="shared" si="10"/>
        <v/>
      </c>
      <c r="M207" t="str">
        <f t="shared" si="11"/>
        <v>2025-08</v>
      </c>
    </row>
    <row r="208" spans="1:13" x14ac:dyDescent="0.25">
      <c r="A208" s="1">
        <v>45891</v>
      </c>
      <c r="B208" t="s">
        <v>17</v>
      </c>
      <c r="C208" s="2">
        <v>800</v>
      </c>
      <c r="D208" t="s">
        <v>89</v>
      </c>
      <c r="E208" s="16" t="s">
        <v>90</v>
      </c>
      <c r="G208" s="7"/>
      <c r="I208" s="7"/>
      <c r="K208" t="str">
        <f t="shared" si="9"/>
        <v/>
      </c>
      <c r="L208" t="str">
        <f t="shared" si="10"/>
        <v/>
      </c>
      <c r="M208" t="str">
        <f t="shared" si="11"/>
        <v>2025-08</v>
      </c>
    </row>
    <row r="209" spans="1:13" x14ac:dyDescent="0.25">
      <c r="A209" s="1">
        <v>45891</v>
      </c>
      <c r="B209" t="s">
        <v>22</v>
      </c>
      <c r="C209" s="2">
        <v>765</v>
      </c>
      <c r="D209" t="s">
        <v>89</v>
      </c>
      <c r="E209" s="16" t="s">
        <v>90</v>
      </c>
      <c r="G209" s="7"/>
      <c r="I209" s="7"/>
      <c r="K209" t="str">
        <f t="shared" si="9"/>
        <v/>
      </c>
      <c r="L209" t="str">
        <f t="shared" si="10"/>
        <v/>
      </c>
      <c r="M209" t="str">
        <f t="shared" si="11"/>
        <v>2025-08</v>
      </c>
    </row>
    <row r="210" spans="1:13" x14ac:dyDescent="0.25">
      <c r="A210" s="1">
        <v>45891</v>
      </c>
      <c r="B210" t="s">
        <v>32</v>
      </c>
      <c r="C210" s="2">
        <v>4000</v>
      </c>
      <c r="D210" t="s">
        <v>89</v>
      </c>
      <c r="E210" s="16" t="s">
        <v>90</v>
      </c>
      <c r="G210" s="7"/>
      <c r="I210" s="7"/>
      <c r="K210" t="str">
        <f t="shared" si="9"/>
        <v/>
      </c>
      <c r="L210" t="str">
        <f t="shared" si="10"/>
        <v/>
      </c>
      <c r="M210" t="str">
        <f t="shared" si="11"/>
        <v>2025-08</v>
      </c>
    </row>
    <row r="211" spans="1:13" x14ac:dyDescent="0.25">
      <c r="A211" s="1">
        <v>45891</v>
      </c>
      <c r="B211" t="s">
        <v>92</v>
      </c>
      <c r="C211" s="2">
        <v>1350</v>
      </c>
      <c r="D211" t="s">
        <v>89</v>
      </c>
      <c r="E211" s="16" t="s">
        <v>90</v>
      </c>
      <c r="G211" s="7"/>
      <c r="I211" s="7"/>
      <c r="K211" t="str">
        <f t="shared" si="9"/>
        <v/>
      </c>
      <c r="L211" t="str">
        <f t="shared" si="10"/>
        <v/>
      </c>
      <c r="M211" t="str">
        <f t="shared" si="11"/>
        <v>2025-08</v>
      </c>
    </row>
    <row r="212" spans="1:13" x14ac:dyDescent="0.25">
      <c r="A212" s="1">
        <v>45891</v>
      </c>
      <c r="B212" t="s">
        <v>92</v>
      </c>
      <c r="C212" s="2">
        <v>4050</v>
      </c>
      <c r="D212" t="s">
        <v>89</v>
      </c>
      <c r="E212" s="16" t="s">
        <v>90</v>
      </c>
      <c r="G212" s="7"/>
      <c r="I212" s="7"/>
      <c r="K212" t="str">
        <f t="shared" si="9"/>
        <v/>
      </c>
      <c r="L212" t="str">
        <f t="shared" si="10"/>
        <v/>
      </c>
      <c r="M212" t="str">
        <f t="shared" si="11"/>
        <v>2025-08</v>
      </c>
    </row>
    <row r="213" spans="1:13" x14ac:dyDescent="0.25">
      <c r="A213" s="1">
        <v>45891</v>
      </c>
      <c r="B213" t="s">
        <v>35</v>
      </c>
      <c r="C213" s="2">
        <v>10000</v>
      </c>
      <c r="D213" t="s">
        <v>89</v>
      </c>
      <c r="E213" s="16" t="s">
        <v>90</v>
      </c>
      <c r="G213" s="7"/>
      <c r="I213" s="7"/>
      <c r="K213" t="str">
        <f t="shared" si="9"/>
        <v/>
      </c>
      <c r="L213" t="str">
        <f t="shared" si="10"/>
        <v/>
      </c>
      <c r="M213" t="str">
        <f t="shared" si="11"/>
        <v>2025-08</v>
      </c>
    </row>
    <row r="214" spans="1:13" x14ac:dyDescent="0.25">
      <c r="A214" s="1">
        <v>45891</v>
      </c>
      <c r="B214" t="s">
        <v>95</v>
      </c>
      <c r="C214" s="2">
        <v>27200</v>
      </c>
      <c r="D214" t="s">
        <v>89</v>
      </c>
      <c r="E214" s="16" t="s">
        <v>90</v>
      </c>
      <c r="G214" s="7"/>
      <c r="I214" s="7"/>
      <c r="K214" t="str">
        <f t="shared" si="9"/>
        <v/>
      </c>
      <c r="L214" t="str">
        <f t="shared" si="10"/>
        <v/>
      </c>
      <c r="M214" t="str">
        <f t="shared" si="11"/>
        <v>2025-08</v>
      </c>
    </row>
    <row r="215" spans="1:13" x14ac:dyDescent="0.25">
      <c r="A215" s="1">
        <v>45891</v>
      </c>
      <c r="B215" t="s">
        <v>99</v>
      </c>
      <c r="C215" s="2">
        <v>2200</v>
      </c>
      <c r="D215" t="s">
        <v>89</v>
      </c>
      <c r="E215" s="16" t="s">
        <v>90</v>
      </c>
      <c r="G215" s="7"/>
      <c r="I215" s="7"/>
      <c r="K215" t="str">
        <f t="shared" si="9"/>
        <v/>
      </c>
      <c r="L215" t="str">
        <f t="shared" si="10"/>
        <v/>
      </c>
      <c r="M215" t="str">
        <f t="shared" si="11"/>
        <v>2025-08</v>
      </c>
    </row>
    <row r="216" spans="1:13" x14ac:dyDescent="0.25">
      <c r="A216" s="1">
        <v>45894</v>
      </c>
      <c r="B216" t="s">
        <v>33</v>
      </c>
      <c r="C216" s="2">
        <v>10400</v>
      </c>
      <c r="D216" t="s">
        <v>89</v>
      </c>
      <c r="E216" s="16" t="s">
        <v>90</v>
      </c>
      <c r="G216" s="7"/>
      <c r="I216" s="7"/>
      <c r="K216" t="str">
        <f t="shared" si="9"/>
        <v/>
      </c>
      <c r="L216" t="str">
        <f t="shared" si="10"/>
        <v/>
      </c>
      <c r="M216" t="str">
        <f t="shared" si="11"/>
        <v>2025-08</v>
      </c>
    </row>
    <row r="217" spans="1:13" x14ac:dyDescent="0.25">
      <c r="A217" s="1">
        <v>45897</v>
      </c>
      <c r="B217" t="s">
        <v>33</v>
      </c>
      <c r="C217" s="2">
        <v>10400</v>
      </c>
      <c r="D217" t="s">
        <v>89</v>
      </c>
      <c r="E217" s="16" t="s">
        <v>90</v>
      </c>
      <c r="G217" s="7"/>
      <c r="I217" s="7"/>
      <c r="K217" t="str">
        <f t="shared" si="9"/>
        <v/>
      </c>
      <c r="L217" t="str">
        <f t="shared" si="10"/>
        <v/>
      </c>
      <c r="M217" t="str">
        <f t="shared" si="11"/>
        <v>2025-08</v>
      </c>
    </row>
    <row r="218" spans="1:13" x14ac:dyDescent="0.25">
      <c r="A218" s="1">
        <v>45897</v>
      </c>
      <c r="B218" t="s">
        <v>92</v>
      </c>
      <c r="C218" s="2">
        <v>5400</v>
      </c>
      <c r="D218" t="s">
        <v>89</v>
      </c>
      <c r="E218" s="16" t="s">
        <v>90</v>
      </c>
      <c r="G218" s="7"/>
      <c r="I218" s="7"/>
      <c r="K218" t="str">
        <f t="shared" si="9"/>
        <v/>
      </c>
      <c r="L218" t="str">
        <f t="shared" si="10"/>
        <v/>
      </c>
      <c r="M218" t="str">
        <f t="shared" si="11"/>
        <v>2025-08</v>
      </c>
    </row>
    <row r="219" spans="1:13" x14ac:dyDescent="0.25">
      <c r="A219" s="1">
        <v>45897</v>
      </c>
      <c r="B219" t="s">
        <v>99</v>
      </c>
      <c r="C219" s="2">
        <v>6600</v>
      </c>
      <c r="D219" t="s">
        <v>89</v>
      </c>
      <c r="E219" s="16" t="s">
        <v>90</v>
      </c>
      <c r="G219" s="7"/>
      <c r="I219" s="7"/>
      <c r="K219" t="str">
        <f t="shared" si="9"/>
        <v/>
      </c>
      <c r="L219" t="str">
        <f t="shared" si="10"/>
        <v/>
      </c>
      <c r="M219" t="str">
        <f t="shared" si="11"/>
        <v>2025-08</v>
      </c>
    </row>
    <row r="220" spans="1:13" x14ac:dyDescent="0.25">
      <c r="A220" s="1">
        <v>45897</v>
      </c>
      <c r="B220" t="s">
        <v>91</v>
      </c>
      <c r="C220" s="2">
        <v>21000</v>
      </c>
      <c r="D220" t="s">
        <v>89</v>
      </c>
      <c r="E220" s="16" t="s">
        <v>90</v>
      </c>
      <c r="G220" s="7"/>
      <c r="I220" s="7"/>
      <c r="K220" t="str">
        <f t="shared" si="9"/>
        <v/>
      </c>
      <c r="L220" t="str">
        <f t="shared" si="10"/>
        <v/>
      </c>
      <c r="M220" t="str">
        <f t="shared" si="11"/>
        <v>2025-08</v>
      </c>
    </row>
    <row r="221" spans="1:13" x14ac:dyDescent="0.25">
      <c r="A221" s="1">
        <v>45897</v>
      </c>
      <c r="B221" t="s">
        <v>35</v>
      </c>
      <c r="C221" s="2">
        <v>10000</v>
      </c>
      <c r="D221" t="s">
        <v>89</v>
      </c>
      <c r="E221" s="16" t="s">
        <v>90</v>
      </c>
      <c r="G221" s="7"/>
      <c r="I221" s="7"/>
      <c r="K221" t="str">
        <f t="shared" si="9"/>
        <v/>
      </c>
      <c r="L221" t="str">
        <f t="shared" si="10"/>
        <v/>
      </c>
      <c r="M221" t="str">
        <f t="shared" si="11"/>
        <v>2025-08</v>
      </c>
    </row>
    <row r="222" spans="1:13" x14ac:dyDescent="0.25">
      <c r="A222" s="1">
        <v>45897</v>
      </c>
      <c r="B222" t="s">
        <v>34</v>
      </c>
      <c r="C222" s="2">
        <v>10000</v>
      </c>
      <c r="D222" t="s">
        <v>89</v>
      </c>
      <c r="E222" s="16" t="s">
        <v>90</v>
      </c>
      <c r="G222" s="7"/>
      <c r="I222" s="7"/>
      <c r="K222" t="str">
        <f t="shared" si="9"/>
        <v/>
      </c>
      <c r="L222" t="str">
        <f t="shared" si="10"/>
        <v/>
      </c>
      <c r="M222" t="str">
        <f t="shared" si="11"/>
        <v>2025-08</v>
      </c>
    </row>
    <row r="223" spans="1:13" x14ac:dyDescent="0.25">
      <c r="A223" s="1">
        <v>45898</v>
      </c>
      <c r="B223" t="s">
        <v>99</v>
      </c>
      <c r="C223" s="2">
        <v>1100</v>
      </c>
      <c r="D223" t="s">
        <v>89</v>
      </c>
      <c r="E223" s="16" t="s">
        <v>90</v>
      </c>
      <c r="G223" s="7"/>
      <c r="I223" s="7"/>
      <c r="K223" t="str">
        <f t="shared" si="9"/>
        <v/>
      </c>
      <c r="L223" t="str">
        <f t="shared" si="10"/>
        <v/>
      </c>
      <c r="M223" t="str">
        <f t="shared" si="11"/>
        <v>2025-08</v>
      </c>
    </row>
    <row r="224" spans="1:13" x14ac:dyDescent="0.25">
      <c r="A224" s="1">
        <v>45898</v>
      </c>
      <c r="B224" t="s">
        <v>96</v>
      </c>
      <c r="C224" s="2">
        <v>1250</v>
      </c>
      <c r="D224" t="s">
        <v>89</v>
      </c>
      <c r="E224" s="16" t="s">
        <v>90</v>
      </c>
      <c r="G224" s="7"/>
      <c r="I224" s="7"/>
      <c r="K224" t="str">
        <f t="shared" si="9"/>
        <v/>
      </c>
      <c r="L224" t="str">
        <f t="shared" si="10"/>
        <v/>
      </c>
      <c r="M224" t="str">
        <f t="shared" si="11"/>
        <v>2025-08</v>
      </c>
    </row>
    <row r="225" spans="1:13" x14ac:dyDescent="0.25">
      <c r="A225" s="1">
        <v>45898</v>
      </c>
      <c r="B225" t="s">
        <v>91</v>
      </c>
      <c r="C225" s="2">
        <v>1500</v>
      </c>
      <c r="D225" t="s">
        <v>89</v>
      </c>
      <c r="E225" s="16" t="s">
        <v>90</v>
      </c>
      <c r="G225" s="7"/>
      <c r="I225" s="7"/>
      <c r="K225" t="str">
        <f t="shared" si="9"/>
        <v/>
      </c>
      <c r="L225" t="str">
        <f t="shared" si="10"/>
        <v/>
      </c>
      <c r="M225" t="str">
        <f t="shared" si="11"/>
        <v>2025-08</v>
      </c>
    </row>
    <row r="226" spans="1:13" x14ac:dyDescent="0.25">
      <c r="A226" s="1">
        <v>45898</v>
      </c>
      <c r="B226" t="s">
        <v>91</v>
      </c>
      <c r="C226" s="2">
        <v>3000</v>
      </c>
      <c r="D226" t="s">
        <v>89</v>
      </c>
      <c r="E226" s="16" t="s">
        <v>90</v>
      </c>
      <c r="G226" s="7"/>
      <c r="I226" s="7"/>
      <c r="K226" t="str">
        <f t="shared" si="9"/>
        <v/>
      </c>
      <c r="L226" t="str">
        <f t="shared" si="10"/>
        <v/>
      </c>
      <c r="M226" t="str">
        <f t="shared" si="11"/>
        <v>2025-08</v>
      </c>
    </row>
    <row r="227" spans="1:13" x14ac:dyDescent="0.25">
      <c r="A227" s="1">
        <v>45898</v>
      </c>
      <c r="B227" t="s">
        <v>91</v>
      </c>
      <c r="C227" s="2">
        <v>3000</v>
      </c>
      <c r="D227" t="s">
        <v>89</v>
      </c>
      <c r="E227" s="16" t="s">
        <v>90</v>
      </c>
      <c r="G227" s="7"/>
      <c r="I227" s="7"/>
      <c r="K227" t="str">
        <f t="shared" si="9"/>
        <v/>
      </c>
      <c r="L227" t="str">
        <f t="shared" si="10"/>
        <v/>
      </c>
      <c r="M227" t="str">
        <f t="shared" si="11"/>
        <v>2025-08</v>
      </c>
    </row>
    <row r="228" spans="1:13" x14ac:dyDescent="0.25">
      <c r="A228" s="1">
        <v>45898</v>
      </c>
      <c r="B228" t="s">
        <v>91</v>
      </c>
      <c r="C228" s="2">
        <v>1500</v>
      </c>
      <c r="D228" t="s">
        <v>89</v>
      </c>
      <c r="E228" s="16" t="s">
        <v>90</v>
      </c>
      <c r="G228" s="7"/>
      <c r="I228" s="7"/>
      <c r="K228" t="str">
        <f t="shared" si="9"/>
        <v/>
      </c>
      <c r="L228" t="str">
        <f t="shared" si="10"/>
        <v/>
      </c>
      <c r="M228" t="str">
        <f t="shared" si="11"/>
        <v>2025-08</v>
      </c>
    </row>
    <row r="229" spans="1:13" x14ac:dyDescent="0.25">
      <c r="A229" s="1">
        <v>45898</v>
      </c>
      <c r="B229" t="s">
        <v>30</v>
      </c>
      <c r="C229" s="2">
        <v>8500</v>
      </c>
      <c r="D229" t="s">
        <v>89</v>
      </c>
      <c r="E229" s="16" t="s">
        <v>90</v>
      </c>
      <c r="G229" s="7"/>
      <c r="I229" s="7"/>
      <c r="K229" t="str">
        <f t="shared" si="9"/>
        <v/>
      </c>
      <c r="L229" t="str">
        <f t="shared" si="10"/>
        <v/>
      </c>
      <c r="M229" t="str">
        <f t="shared" si="11"/>
        <v>2025-08</v>
      </c>
    </row>
    <row r="230" spans="1:13" x14ac:dyDescent="0.25">
      <c r="A230" s="1">
        <v>45901</v>
      </c>
      <c r="B230" t="s">
        <v>31</v>
      </c>
      <c r="C230" s="2">
        <v>10000</v>
      </c>
      <c r="D230" t="s">
        <v>89</v>
      </c>
      <c r="E230" s="16" t="s">
        <v>90</v>
      </c>
      <c r="G230" s="7"/>
      <c r="I230" s="7"/>
      <c r="K230" t="str">
        <f t="shared" si="9"/>
        <v/>
      </c>
      <c r="L230" t="str">
        <f t="shared" si="10"/>
        <v/>
      </c>
      <c r="M230" t="str">
        <f t="shared" si="11"/>
        <v>2025-09</v>
      </c>
    </row>
    <row r="231" spans="1:13" x14ac:dyDescent="0.25">
      <c r="A231" s="1">
        <v>45901</v>
      </c>
      <c r="B231" t="s">
        <v>30</v>
      </c>
      <c r="C231" s="2">
        <v>8500</v>
      </c>
      <c r="D231" t="s">
        <v>89</v>
      </c>
      <c r="E231" s="16" t="s">
        <v>90</v>
      </c>
      <c r="G231" s="7"/>
      <c r="I231" s="7"/>
      <c r="K231" t="str">
        <f t="shared" si="9"/>
        <v/>
      </c>
      <c r="L231" t="str">
        <f t="shared" si="10"/>
        <v/>
      </c>
      <c r="M231" t="str">
        <f t="shared" si="11"/>
        <v>2025-09</v>
      </c>
    </row>
    <row r="232" spans="1:13" x14ac:dyDescent="0.25">
      <c r="A232" s="1">
        <v>45901</v>
      </c>
      <c r="B232" t="s">
        <v>92</v>
      </c>
      <c r="C232" s="2">
        <v>2700</v>
      </c>
      <c r="D232" t="s">
        <v>89</v>
      </c>
      <c r="E232" s="16" t="s">
        <v>90</v>
      </c>
      <c r="G232" s="7"/>
      <c r="I232" s="7"/>
      <c r="K232" t="str">
        <f t="shared" si="9"/>
        <v/>
      </c>
      <c r="L232" t="str">
        <f t="shared" si="10"/>
        <v/>
      </c>
      <c r="M232" t="str">
        <f t="shared" si="11"/>
        <v>2025-09</v>
      </c>
    </row>
    <row r="233" spans="1:13" x14ac:dyDescent="0.25">
      <c r="A233" s="1">
        <v>45902</v>
      </c>
      <c r="B233" t="s">
        <v>32</v>
      </c>
      <c r="C233" s="2">
        <v>1000</v>
      </c>
      <c r="D233" t="s">
        <v>89</v>
      </c>
      <c r="E233" s="16" t="s">
        <v>90</v>
      </c>
      <c r="G233" s="7"/>
      <c r="I233" s="7"/>
      <c r="K233" t="str">
        <f t="shared" si="9"/>
        <v/>
      </c>
      <c r="L233" t="str">
        <f t="shared" si="10"/>
        <v/>
      </c>
      <c r="M233" t="str">
        <f t="shared" si="11"/>
        <v>2025-09</v>
      </c>
    </row>
    <row r="234" spans="1:13" x14ac:dyDescent="0.25">
      <c r="A234" s="1">
        <v>45902</v>
      </c>
      <c r="B234" t="s">
        <v>99</v>
      </c>
      <c r="C234" s="2">
        <v>1100</v>
      </c>
      <c r="D234" t="s">
        <v>89</v>
      </c>
      <c r="E234" s="16" t="s">
        <v>90</v>
      </c>
      <c r="G234" s="7"/>
      <c r="I234" s="7"/>
      <c r="K234" t="str">
        <f t="shared" si="9"/>
        <v/>
      </c>
      <c r="L234" t="str">
        <f t="shared" si="10"/>
        <v/>
      </c>
      <c r="M234" t="str">
        <f t="shared" si="11"/>
        <v>2025-09</v>
      </c>
    </row>
    <row r="235" spans="1:13" x14ac:dyDescent="0.25">
      <c r="A235" s="1">
        <v>45902</v>
      </c>
      <c r="B235" t="s">
        <v>35</v>
      </c>
      <c r="C235" s="2">
        <v>10000</v>
      </c>
      <c r="D235" t="s">
        <v>89</v>
      </c>
      <c r="E235" s="16" t="s">
        <v>90</v>
      </c>
      <c r="G235" s="7"/>
      <c r="I235" s="7"/>
      <c r="K235" t="str">
        <f t="shared" si="9"/>
        <v/>
      </c>
      <c r="L235" t="str">
        <f t="shared" si="10"/>
        <v/>
      </c>
      <c r="M235" t="str">
        <f t="shared" si="11"/>
        <v>2025-09</v>
      </c>
    </row>
    <row r="236" spans="1:13" x14ac:dyDescent="0.25">
      <c r="A236" s="1">
        <v>45902</v>
      </c>
      <c r="B236" t="s">
        <v>27</v>
      </c>
      <c r="C236" s="2">
        <v>2100</v>
      </c>
      <c r="D236" t="s">
        <v>89</v>
      </c>
      <c r="E236" s="16" t="s">
        <v>90</v>
      </c>
      <c r="G236" s="7"/>
      <c r="I236" s="7"/>
      <c r="K236" t="str">
        <f t="shared" si="9"/>
        <v/>
      </c>
      <c r="L236" t="str">
        <f t="shared" si="10"/>
        <v/>
      </c>
      <c r="M236" t="str">
        <f t="shared" si="11"/>
        <v>2025-09</v>
      </c>
    </row>
    <row r="237" spans="1:13" x14ac:dyDescent="0.25">
      <c r="A237" s="1">
        <v>45903</v>
      </c>
      <c r="B237" t="s">
        <v>92</v>
      </c>
      <c r="C237" s="2">
        <v>6750</v>
      </c>
      <c r="D237" t="s">
        <v>89</v>
      </c>
      <c r="E237" s="16" t="s">
        <v>90</v>
      </c>
      <c r="G237" s="7"/>
      <c r="I237" s="7"/>
      <c r="K237" t="str">
        <f t="shared" si="9"/>
        <v/>
      </c>
      <c r="L237" t="str">
        <f t="shared" si="10"/>
        <v/>
      </c>
      <c r="M237" t="str">
        <f t="shared" si="11"/>
        <v>2025-09</v>
      </c>
    </row>
    <row r="238" spans="1:13" x14ac:dyDescent="0.25">
      <c r="A238" s="1">
        <v>45903</v>
      </c>
      <c r="B238" t="s">
        <v>29</v>
      </c>
      <c r="C238" s="2">
        <v>2700</v>
      </c>
      <c r="D238" t="s">
        <v>89</v>
      </c>
      <c r="E238" s="16" t="s">
        <v>90</v>
      </c>
      <c r="G238" s="7"/>
      <c r="I238" s="7"/>
      <c r="K238" t="str">
        <f t="shared" si="9"/>
        <v/>
      </c>
      <c r="L238" t="str">
        <f t="shared" si="10"/>
        <v/>
      </c>
      <c r="M238" t="str">
        <f t="shared" si="11"/>
        <v>2025-09</v>
      </c>
    </row>
    <row r="239" spans="1:13" x14ac:dyDescent="0.25">
      <c r="A239" s="1">
        <v>45903</v>
      </c>
      <c r="B239" t="s">
        <v>35</v>
      </c>
      <c r="C239" s="2">
        <v>10000</v>
      </c>
      <c r="D239" t="s">
        <v>89</v>
      </c>
      <c r="E239" s="16" t="s">
        <v>90</v>
      </c>
      <c r="G239" s="7"/>
      <c r="I239" s="7"/>
      <c r="K239" t="str">
        <f t="shared" si="9"/>
        <v/>
      </c>
      <c r="L239" t="str">
        <f t="shared" si="10"/>
        <v/>
      </c>
      <c r="M239" t="str">
        <f t="shared" si="11"/>
        <v>2025-09</v>
      </c>
    </row>
    <row r="240" spans="1:13" x14ac:dyDescent="0.25">
      <c r="A240" s="1">
        <v>45903</v>
      </c>
      <c r="B240" t="s">
        <v>33</v>
      </c>
      <c r="C240" s="2">
        <v>10400</v>
      </c>
      <c r="D240" t="s">
        <v>89</v>
      </c>
      <c r="E240" s="16" t="s">
        <v>90</v>
      </c>
      <c r="G240" s="7"/>
      <c r="I240" s="7"/>
      <c r="K240" t="str">
        <f t="shared" si="9"/>
        <v/>
      </c>
      <c r="L240" t="str">
        <f t="shared" si="10"/>
        <v/>
      </c>
      <c r="M240" t="str">
        <f t="shared" si="11"/>
        <v>2025-09</v>
      </c>
    </row>
    <row r="241" spans="1:13" x14ac:dyDescent="0.25">
      <c r="A241" s="1">
        <v>45904</v>
      </c>
      <c r="B241" t="s">
        <v>92</v>
      </c>
      <c r="C241" s="2">
        <v>8100</v>
      </c>
      <c r="D241" t="s">
        <v>89</v>
      </c>
      <c r="E241" s="16" t="s">
        <v>90</v>
      </c>
      <c r="G241" s="7"/>
      <c r="I241" s="7"/>
      <c r="K241" t="str">
        <f t="shared" si="9"/>
        <v/>
      </c>
      <c r="L241" t="str">
        <f t="shared" si="10"/>
        <v/>
      </c>
      <c r="M241" t="str">
        <f t="shared" si="11"/>
        <v>2025-09</v>
      </c>
    </row>
    <row r="242" spans="1:13" x14ac:dyDescent="0.25">
      <c r="A242" s="1">
        <v>45904</v>
      </c>
      <c r="B242" t="s">
        <v>100</v>
      </c>
      <c r="C242" s="2">
        <v>2000</v>
      </c>
      <c r="D242" t="s">
        <v>89</v>
      </c>
      <c r="E242" s="16" t="s">
        <v>90</v>
      </c>
      <c r="G242" s="7"/>
      <c r="I242" s="7"/>
      <c r="K242" t="str">
        <f t="shared" si="9"/>
        <v/>
      </c>
      <c r="L242" t="str">
        <f t="shared" si="10"/>
        <v/>
      </c>
      <c r="M242" t="str">
        <f t="shared" si="11"/>
        <v>2025-09</v>
      </c>
    </row>
    <row r="243" spans="1:13" x14ac:dyDescent="0.25">
      <c r="A243" s="1">
        <v>45904</v>
      </c>
      <c r="B243" t="s">
        <v>35</v>
      </c>
      <c r="C243" s="2">
        <v>10000</v>
      </c>
      <c r="D243" t="s">
        <v>89</v>
      </c>
      <c r="E243" s="16" t="s">
        <v>90</v>
      </c>
      <c r="G243" s="7"/>
      <c r="I243" s="7"/>
      <c r="K243" t="str">
        <f t="shared" si="9"/>
        <v/>
      </c>
      <c r="L243" t="str">
        <f t="shared" si="10"/>
        <v/>
      </c>
      <c r="M243" t="str">
        <f t="shared" si="11"/>
        <v>2025-09</v>
      </c>
    </row>
    <row r="244" spans="1:13" x14ac:dyDescent="0.25">
      <c r="A244" s="1">
        <v>45904</v>
      </c>
      <c r="B244" t="s">
        <v>91</v>
      </c>
      <c r="C244" s="2">
        <v>9000</v>
      </c>
      <c r="D244" t="s">
        <v>89</v>
      </c>
      <c r="E244" s="16" t="s">
        <v>90</v>
      </c>
      <c r="G244" s="7"/>
      <c r="I244" s="7"/>
      <c r="K244" t="str">
        <f t="shared" si="9"/>
        <v/>
      </c>
      <c r="L244" t="str">
        <f t="shared" si="10"/>
        <v/>
      </c>
      <c r="M244" t="str">
        <f t="shared" si="11"/>
        <v>2025-09</v>
      </c>
    </row>
    <row r="245" spans="1:13" x14ac:dyDescent="0.25">
      <c r="A245" s="1">
        <v>45904</v>
      </c>
      <c r="B245" t="s">
        <v>34</v>
      </c>
      <c r="C245" s="2">
        <v>16170</v>
      </c>
      <c r="D245" t="s">
        <v>89</v>
      </c>
      <c r="E245" s="16" t="s">
        <v>90</v>
      </c>
      <c r="G245" s="7"/>
      <c r="I245" s="7"/>
      <c r="K245" t="str">
        <f t="shared" si="9"/>
        <v/>
      </c>
      <c r="L245" t="str">
        <f t="shared" si="10"/>
        <v/>
      </c>
      <c r="M245" t="str">
        <f t="shared" si="11"/>
        <v>2025-09</v>
      </c>
    </row>
    <row r="246" spans="1:13" x14ac:dyDescent="0.25">
      <c r="A246" s="1">
        <v>45904</v>
      </c>
      <c r="B246" t="s">
        <v>99</v>
      </c>
      <c r="C246" s="2">
        <v>4400</v>
      </c>
      <c r="D246" t="s">
        <v>89</v>
      </c>
      <c r="E246" s="16" t="s">
        <v>90</v>
      </c>
      <c r="G246" s="7"/>
      <c r="I246" s="7"/>
      <c r="K246" t="str">
        <f t="shared" si="9"/>
        <v/>
      </c>
      <c r="L246" t="str">
        <f t="shared" si="10"/>
        <v/>
      </c>
      <c r="M246" t="str">
        <f t="shared" si="11"/>
        <v>2025-09</v>
      </c>
    </row>
    <row r="247" spans="1:13" x14ac:dyDescent="0.25">
      <c r="A247" s="1">
        <v>45905</v>
      </c>
      <c r="B247" t="s">
        <v>91</v>
      </c>
      <c r="C247" s="2">
        <v>3000</v>
      </c>
      <c r="D247" t="s">
        <v>89</v>
      </c>
      <c r="E247" s="16" t="s">
        <v>90</v>
      </c>
      <c r="G247" s="7"/>
      <c r="I247" s="7"/>
      <c r="K247" t="str">
        <f t="shared" si="9"/>
        <v/>
      </c>
      <c r="L247" t="str">
        <f t="shared" si="10"/>
        <v/>
      </c>
      <c r="M247" t="str">
        <f t="shared" si="11"/>
        <v>2025-09</v>
      </c>
    </row>
    <row r="248" spans="1:13" x14ac:dyDescent="0.25">
      <c r="A248" s="1">
        <v>45905</v>
      </c>
      <c r="B248" t="s">
        <v>28</v>
      </c>
      <c r="C248" s="2">
        <v>6000</v>
      </c>
      <c r="D248" t="s">
        <v>89</v>
      </c>
      <c r="E248" s="16" t="s">
        <v>90</v>
      </c>
      <c r="G248" s="7"/>
      <c r="I248" s="7"/>
      <c r="K248" t="str">
        <f t="shared" si="9"/>
        <v/>
      </c>
      <c r="L248" t="str">
        <f t="shared" si="10"/>
        <v/>
      </c>
      <c r="M248" t="str">
        <f t="shared" si="11"/>
        <v>2025-09</v>
      </c>
    </row>
    <row r="249" spans="1:13" x14ac:dyDescent="0.25">
      <c r="A249" s="1">
        <v>45905</v>
      </c>
      <c r="B249" t="s">
        <v>94</v>
      </c>
      <c r="C249" s="2">
        <v>1000</v>
      </c>
      <c r="D249" t="s">
        <v>89</v>
      </c>
      <c r="E249" s="16" t="s">
        <v>90</v>
      </c>
      <c r="G249" s="7"/>
      <c r="I249" s="7"/>
      <c r="K249" t="str">
        <f t="shared" si="9"/>
        <v/>
      </c>
      <c r="L249" t="str">
        <f t="shared" si="10"/>
        <v/>
      </c>
      <c r="M249" t="str">
        <f t="shared" si="11"/>
        <v>2025-09</v>
      </c>
    </row>
    <row r="250" spans="1:13" x14ac:dyDescent="0.25">
      <c r="A250" s="1">
        <v>45908</v>
      </c>
      <c r="B250" t="s">
        <v>92</v>
      </c>
      <c r="C250" s="2">
        <v>1350</v>
      </c>
      <c r="D250" t="s">
        <v>89</v>
      </c>
      <c r="E250" s="16" t="s">
        <v>90</v>
      </c>
      <c r="G250" s="7"/>
      <c r="I250" s="7"/>
      <c r="K250" t="str">
        <f t="shared" si="9"/>
        <v/>
      </c>
      <c r="L250" t="str">
        <f t="shared" si="10"/>
        <v/>
      </c>
      <c r="M250" t="str">
        <f t="shared" si="11"/>
        <v>2025-09</v>
      </c>
    </row>
    <row r="251" spans="1:13" x14ac:dyDescent="0.25">
      <c r="A251" s="1">
        <v>45908</v>
      </c>
      <c r="B251" t="s">
        <v>96</v>
      </c>
      <c r="C251" s="2">
        <v>1250</v>
      </c>
      <c r="D251" t="s">
        <v>89</v>
      </c>
      <c r="E251" s="16" t="s">
        <v>90</v>
      </c>
      <c r="G251" s="7"/>
      <c r="I251" s="7"/>
      <c r="K251" t="str">
        <f t="shared" si="9"/>
        <v/>
      </c>
      <c r="L251" t="str">
        <f t="shared" si="10"/>
        <v/>
      </c>
      <c r="M251" t="str">
        <f t="shared" si="11"/>
        <v>2025-09</v>
      </c>
    </row>
    <row r="252" spans="1:13" x14ac:dyDescent="0.25">
      <c r="A252" s="1">
        <v>45908</v>
      </c>
      <c r="B252" t="s">
        <v>34</v>
      </c>
      <c r="C252" s="2">
        <v>10000</v>
      </c>
      <c r="D252" t="s">
        <v>89</v>
      </c>
      <c r="E252" s="16" t="s">
        <v>90</v>
      </c>
      <c r="G252" s="7"/>
      <c r="I252" s="7"/>
      <c r="K252" t="str">
        <f t="shared" si="9"/>
        <v/>
      </c>
      <c r="L252" t="str">
        <f t="shared" si="10"/>
        <v/>
      </c>
      <c r="M252" t="str">
        <f t="shared" si="11"/>
        <v>2025-09</v>
      </c>
    </row>
    <row r="253" spans="1:13" x14ac:dyDescent="0.25">
      <c r="A253" s="1">
        <v>45908</v>
      </c>
      <c r="B253" t="s">
        <v>91</v>
      </c>
      <c r="C253" s="2">
        <v>9000</v>
      </c>
      <c r="D253" t="s">
        <v>89</v>
      </c>
      <c r="E253" s="16" t="s">
        <v>90</v>
      </c>
      <c r="G253" s="7"/>
      <c r="I253" s="7"/>
      <c r="K253" t="str">
        <f t="shared" si="9"/>
        <v/>
      </c>
      <c r="L253" t="str">
        <f t="shared" si="10"/>
        <v/>
      </c>
      <c r="M253" t="str">
        <f t="shared" si="11"/>
        <v>2025-09</v>
      </c>
    </row>
    <row r="254" spans="1:13" x14ac:dyDescent="0.25">
      <c r="A254" s="1">
        <v>45909</v>
      </c>
      <c r="B254" t="s">
        <v>91</v>
      </c>
      <c r="C254" s="2">
        <v>4500</v>
      </c>
      <c r="D254" t="s">
        <v>89</v>
      </c>
      <c r="E254" s="16" t="s">
        <v>90</v>
      </c>
      <c r="G254" s="7"/>
      <c r="I254" s="7"/>
      <c r="K254" t="str">
        <f t="shared" si="9"/>
        <v/>
      </c>
      <c r="L254" t="str">
        <f t="shared" si="10"/>
        <v/>
      </c>
      <c r="M254" t="str">
        <f t="shared" si="11"/>
        <v>2025-09</v>
      </c>
    </row>
    <row r="255" spans="1:13" x14ac:dyDescent="0.25">
      <c r="A255" s="1">
        <v>45909</v>
      </c>
      <c r="B255" t="s">
        <v>29</v>
      </c>
      <c r="C255" s="2">
        <v>900</v>
      </c>
      <c r="D255" t="s">
        <v>89</v>
      </c>
      <c r="E255" s="16" t="s">
        <v>90</v>
      </c>
      <c r="G255" s="7"/>
      <c r="I255" s="7"/>
      <c r="K255" t="str">
        <f t="shared" si="9"/>
        <v/>
      </c>
      <c r="L255" t="str">
        <f t="shared" si="10"/>
        <v/>
      </c>
      <c r="M255" t="str">
        <f t="shared" si="11"/>
        <v>2025-09</v>
      </c>
    </row>
    <row r="256" spans="1:13" x14ac:dyDescent="0.25">
      <c r="A256" s="1">
        <v>45909</v>
      </c>
      <c r="B256" t="s">
        <v>34</v>
      </c>
      <c r="C256" s="2">
        <v>10000</v>
      </c>
      <c r="D256" t="s">
        <v>89</v>
      </c>
      <c r="E256" s="16" t="s">
        <v>90</v>
      </c>
      <c r="G256" s="7"/>
      <c r="I256" s="7"/>
      <c r="K256" t="str">
        <f t="shared" si="9"/>
        <v/>
      </c>
      <c r="L256" t="str">
        <f t="shared" si="10"/>
        <v/>
      </c>
      <c r="M256" t="str">
        <f t="shared" si="11"/>
        <v>2025-09</v>
      </c>
    </row>
    <row r="257" spans="1:13" x14ac:dyDescent="0.25">
      <c r="A257" s="1">
        <v>45909</v>
      </c>
      <c r="B257" t="s">
        <v>33</v>
      </c>
      <c r="C257" s="2">
        <v>10400</v>
      </c>
      <c r="D257" t="s">
        <v>89</v>
      </c>
      <c r="E257" s="16" t="s">
        <v>90</v>
      </c>
      <c r="G257" s="7"/>
      <c r="I257" s="7"/>
      <c r="K257" t="str">
        <f t="shared" si="9"/>
        <v/>
      </c>
      <c r="L257" t="str">
        <f t="shared" si="10"/>
        <v/>
      </c>
      <c r="M257" t="str">
        <f t="shared" si="11"/>
        <v>2025-09</v>
      </c>
    </row>
    <row r="258" spans="1:13" x14ac:dyDescent="0.25">
      <c r="A258" s="1">
        <v>45909</v>
      </c>
      <c r="B258" t="s">
        <v>30</v>
      </c>
      <c r="C258" s="2">
        <v>8500</v>
      </c>
      <c r="D258" t="s">
        <v>89</v>
      </c>
      <c r="E258" s="16" t="s">
        <v>90</v>
      </c>
      <c r="G258" s="7"/>
      <c r="I258" s="7"/>
      <c r="K258" t="str">
        <f t="shared" ref="K258:K321" si="12">IF(AND(L258&lt;&gt;"",C258&gt;0),L258/C258,"")</f>
        <v/>
      </c>
      <c r="L258" t="str">
        <f t="shared" ref="L258:L321" si="13">IF(AND(D258="FINALIZADO",H258&lt;&gt;""),VALUE(LEFT(H258,FIND("h",H258)-1))*60+VALUE(MID(H258,FIND("h",H258)+2,FIND("min",H258)-FIND("h",H258)-2)),"")</f>
        <v/>
      </c>
      <c r="M258" t="str">
        <f t="shared" ref="M258:M321" si="14">TEXT(YEAR(A258),"0000")&amp;"-"&amp;TEXT(MONTH(A258),"00")</f>
        <v>2025-09</v>
      </c>
    </row>
    <row r="259" spans="1:13" x14ac:dyDescent="0.25">
      <c r="A259" s="1">
        <v>45910</v>
      </c>
      <c r="B259" t="s">
        <v>91</v>
      </c>
      <c r="C259" s="2">
        <v>21200</v>
      </c>
      <c r="D259" t="s">
        <v>89</v>
      </c>
      <c r="E259" s="16" t="s">
        <v>90</v>
      </c>
      <c r="G259" s="7"/>
      <c r="I259" s="7"/>
      <c r="K259" t="str">
        <f t="shared" si="12"/>
        <v/>
      </c>
      <c r="L259" t="str">
        <f t="shared" si="13"/>
        <v/>
      </c>
      <c r="M259" t="str">
        <f t="shared" si="14"/>
        <v>2025-09</v>
      </c>
    </row>
    <row r="260" spans="1:13" x14ac:dyDescent="0.25">
      <c r="A260" s="1">
        <v>45910</v>
      </c>
      <c r="B260" t="s">
        <v>27</v>
      </c>
      <c r="C260" s="2">
        <v>3150</v>
      </c>
      <c r="D260" t="s">
        <v>89</v>
      </c>
      <c r="E260" s="16" t="s">
        <v>90</v>
      </c>
      <c r="G260" s="7"/>
      <c r="I260" s="7"/>
      <c r="K260" t="str">
        <f t="shared" si="12"/>
        <v/>
      </c>
      <c r="L260" t="str">
        <f t="shared" si="13"/>
        <v/>
      </c>
      <c r="M260" t="str">
        <f t="shared" si="14"/>
        <v>2025-09</v>
      </c>
    </row>
    <row r="261" spans="1:13" x14ac:dyDescent="0.25">
      <c r="A261" s="1">
        <v>45910</v>
      </c>
      <c r="B261" t="s">
        <v>27</v>
      </c>
      <c r="C261" s="2">
        <v>1050</v>
      </c>
      <c r="D261" t="s">
        <v>89</v>
      </c>
      <c r="E261" s="16" t="s">
        <v>90</v>
      </c>
      <c r="G261" s="7"/>
      <c r="I261" s="7"/>
      <c r="K261" t="str">
        <f t="shared" si="12"/>
        <v/>
      </c>
      <c r="L261" t="str">
        <f t="shared" si="13"/>
        <v/>
      </c>
      <c r="M261" t="str">
        <f t="shared" si="14"/>
        <v>2025-09</v>
      </c>
    </row>
    <row r="262" spans="1:13" x14ac:dyDescent="0.25">
      <c r="A262" s="1">
        <v>45910</v>
      </c>
      <c r="B262" t="s">
        <v>33</v>
      </c>
      <c r="C262" s="2">
        <v>10400</v>
      </c>
      <c r="D262" t="s">
        <v>89</v>
      </c>
      <c r="E262" s="16" t="s">
        <v>90</v>
      </c>
      <c r="G262" s="7"/>
      <c r="I262" s="7"/>
      <c r="K262" t="str">
        <f t="shared" si="12"/>
        <v/>
      </c>
      <c r="L262" t="str">
        <f t="shared" si="13"/>
        <v/>
      </c>
      <c r="M262" t="str">
        <f t="shared" si="14"/>
        <v>2025-09</v>
      </c>
    </row>
    <row r="263" spans="1:13" x14ac:dyDescent="0.25">
      <c r="A263" s="1">
        <v>45910</v>
      </c>
      <c r="B263" t="s">
        <v>92</v>
      </c>
      <c r="C263" s="2">
        <v>17550</v>
      </c>
      <c r="D263" t="s">
        <v>89</v>
      </c>
      <c r="E263" s="16" t="s">
        <v>90</v>
      </c>
      <c r="G263" s="7"/>
      <c r="I263" s="7"/>
      <c r="K263" t="str">
        <f t="shared" si="12"/>
        <v/>
      </c>
      <c r="L263" t="str">
        <f t="shared" si="13"/>
        <v/>
      </c>
      <c r="M263" t="str">
        <f t="shared" si="14"/>
        <v>2025-09</v>
      </c>
    </row>
    <row r="264" spans="1:13" x14ac:dyDescent="0.25">
      <c r="A264" s="1">
        <v>45911</v>
      </c>
      <c r="B264" t="s">
        <v>33</v>
      </c>
      <c r="C264" s="2">
        <v>10400</v>
      </c>
      <c r="D264" t="s">
        <v>89</v>
      </c>
      <c r="E264" s="16" t="s">
        <v>90</v>
      </c>
      <c r="G264" s="7"/>
      <c r="I264" s="7"/>
      <c r="K264" t="str">
        <f t="shared" si="12"/>
        <v/>
      </c>
      <c r="L264" t="str">
        <f t="shared" si="13"/>
        <v/>
      </c>
      <c r="M264" t="str">
        <f t="shared" si="14"/>
        <v>2025-09</v>
      </c>
    </row>
    <row r="265" spans="1:13" x14ac:dyDescent="0.25">
      <c r="A265" s="1">
        <v>45911</v>
      </c>
      <c r="B265" t="s">
        <v>35</v>
      </c>
      <c r="C265" s="2">
        <v>14000</v>
      </c>
      <c r="D265" t="s">
        <v>89</v>
      </c>
      <c r="E265" s="16" t="s">
        <v>90</v>
      </c>
      <c r="G265" s="7"/>
      <c r="I265" s="7"/>
      <c r="K265" t="str">
        <f t="shared" si="12"/>
        <v/>
      </c>
      <c r="L265" t="str">
        <f t="shared" si="13"/>
        <v/>
      </c>
      <c r="M265" t="str">
        <f t="shared" si="14"/>
        <v>2025-09</v>
      </c>
    </row>
    <row r="266" spans="1:13" x14ac:dyDescent="0.25">
      <c r="A266" s="1">
        <v>45911</v>
      </c>
      <c r="B266" t="s">
        <v>29</v>
      </c>
      <c r="C266" s="2">
        <v>1800</v>
      </c>
      <c r="D266" t="s">
        <v>89</v>
      </c>
      <c r="E266" s="16" t="s">
        <v>90</v>
      </c>
      <c r="G266" s="7"/>
      <c r="I266" s="7"/>
      <c r="K266" t="str">
        <f t="shared" si="12"/>
        <v/>
      </c>
      <c r="L266" t="str">
        <f t="shared" si="13"/>
        <v/>
      </c>
      <c r="M266" t="str">
        <f t="shared" si="14"/>
        <v>2025-09</v>
      </c>
    </row>
    <row r="267" spans="1:13" x14ac:dyDescent="0.25">
      <c r="A267" s="1">
        <v>45911</v>
      </c>
      <c r="B267" t="s">
        <v>29</v>
      </c>
      <c r="C267" s="2">
        <v>3600</v>
      </c>
      <c r="D267" t="s">
        <v>89</v>
      </c>
      <c r="E267" s="16" t="s">
        <v>90</v>
      </c>
      <c r="G267" s="7"/>
      <c r="I267" s="7"/>
      <c r="K267" t="str">
        <f t="shared" si="12"/>
        <v/>
      </c>
      <c r="L267" t="str">
        <f t="shared" si="13"/>
        <v/>
      </c>
      <c r="M267" t="str">
        <f t="shared" si="14"/>
        <v>2025-09</v>
      </c>
    </row>
    <row r="268" spans="1:13" x14ac:dyDescent="0.25">
      <c r="A268" s="1">
        <v>45911</v>
      </c>
      <c r="B268" t="s">
        <v>17</v>
      </c>
      <c r="C268" s="2">
        <v>1000</v>
      </c>
      <c r="D268" t="s">
        <v>89</v>
      </c>
      <c r="E268" s="16" t="s">
        <v>90</v>
      </c>
      <c r="G268" s="7"/>
      <c r="I268" s="7"/>
      <c r="K268" t="str">
        <f t="shared" si="12"/>
        <v/>
      </c>
      <c r="L268" t="str">
        <f t="shared" si="13"/>
        <v/>
      </c>
      <c r="M268" t="str">
        <f t="shared" si="14"/>
        <v>2025-09</v>
      </c>
    </row>
    <row r="269" spans="1:13" x14ac:dyDescent="0.25">
      <c r="A269" s="1">
        <v>45911</v>
      </c>
      <c r="B269" t="s">
        <v>91</v>
      </c>
      <c r="C269" s="2">
        <v>13550</v>
      </c>
      <c r="D269" t="s">
        <v>89</v>
      </c>
      <c r="E269" s="16" t="s">
        <v>90</v>
      </c>
      <c r="G269" s="7"/>
      <c r="I269" s="7"/>
      <c r="K269" t="str">
        <f t="shared" si="12"/>
        <v/>
      </c>
      <c r="L269" t="str">
        <f t="shared" si="13"/>
        <v/>
      </c>
      <c r="M269" t="str">
        <f t="shared" si="14"/>
        <v>2025-09</v>
      </c>
    </row>
    <row r="270" spans="1:13" x14ac:dyDescent="0.25">
      <c r="A270" s="1">
        <v>45911</v>
      </c>
      <c r="B270" t="s">
        <v>99</v>
      </c>
      <c r="C270" s="2">
        <v>1100</v>
      </c>
      <c r="D270" t="s">
        <v>89</v>
      </c>
      <c r="E270" s="16" t="s">
        <v>90</v>
      </c>
      <c r="G270" s="7"/>
      <c r="I270" s="7"/>
      <c r="K270" t="str">
        <f t="shared" si="12"/>
        <v/>
      </c>
      <c r="L270" t="str">
        <f t="shared" si="13"/>
        <v/>
      </c>
      <c r="M270" t="str">
        <f t="shared" si="14"/>
        <v>2025-09</v>
      </c>
    </row>
    <row r="271" spans="1:13" x14ac:dyDescent="0.25">
      <c r="A271" s="1">
        <v>45912</v>
      </c>
      <c r="B271" t="s">
        <v>91</v>
      </c>
      <c r="C271" s="2">
        <v>10550</v>
      </c>
      <c r="D271" t="s">
        <v>89</v>
      </c>
      <c r="E271" s="16" t="s">
        <v>90</v>
      </c>
      <c r="G271" s="7"/>
      <c r="I271" s="7"/>
      <c r="K271" t="str">
        <f t="shared" si="12"/>
        <v/>
      </c>
      <c r="L271" t="str">
        <f t="shared" si="13"/>
        <v/>
      </c>
      <c r="M271" t="str">
        <f t="shared" si="14"/>
        <v>2025-09</v>
      </c>
    </row>
    <row r="272" spans="1:13" x14ac:dyDescent="0.25">
      <c r="A272" s="1">
        <v>45912</v>
      </c>
      <c r="B272" t="s">
        <v>34</v>
      </c>
      <c r="C272" s="2">
        <v>8300</v>
      </c>
      <c r="D272" t="s">
        <v>89</v>
      </c>
      <c r="E272" s="16" t="s">
        <v>90</v>
      </c>
      <c r="G272" s="7"/>
      <c r="I272" s="7"/>
      <c r="K272" t="str">
        <f t="shared" si="12"/>
        <v/>
      </c>
      <c r="L272" t="str">
        <f t="shared" si="13"/>
        <v/>
      </c>
      <c r="M272" t="str">
        <f t="shared" si="14"/>
        <v>2025-09</v>
      </c>
    </row>
    <row r="273" spans="1:13" x14ac:dyDescent="0.25">
      <c r="A273" s="1">
        <v>45912</v>
      </c>
      <c r="B273" t="s">
        <v>26</v>
      </c>
      <c r="C273" s="2">
        <v>6300</v>
      </c>
      <c r="D273" t="s">
        <v>89</v>
      </c>
      <c r="E273" s="16" t="s">
        <v>90</v>
      </c>
      <c r="G273" s="7"/>
      <c r="I273" s="7"/>
      <c r="K273" t="str">
        <f t="shared" si="12"/>
        <v/>
      </c>
      <c r="L273" t="str">
        <f t="shared" si="13"/>
        <v/>
      </c>
      <c r="M273" t="str">
        <f t="shared" si="14"/>
        <v>2025-09</v>
      </c>
    </row>
    <row r="274" spans="1:13" x14ac:dyDescent="0.25">
      <c r="A274" s="1">
        <v>45912</v>
      </c>
      <c r="B274" t="s">
        <v>33</v>
      </c>
      <c r="C274" s="2">
        <v>10400</v>
      </c>
      <c r="D274" t="s">
        <v>89</v>
      </c>
      <c r="E274" s="16" t="s">
        <v>90</v>
      </c>
      <c r="G274" s="7"/>
      <c r="I274" s="7"/>
      <c r="K274" t="str">
        <f t="shared" si="12"/>
        <v/>
      </c>
      <c r="L274" t="str">
        <f t="shared" si="13"/>
        <v/>
      </c>
      <c r="M274" t="str">
        <f t="shared" si="14"/>
        <v>2025-09</v>
      </c>
    </row>
    <row r="275" spans="1:13" x14ac:dyDescent="0.25">
      <c r="A275" s="1">
        <v>45912</v>
      </c>
      <c r="B275" t="s">
        <v>35</v>
      </c>
      <c r="C275" s="2">
        <v>14000</v>
      </c>
      <c r="D275" t="s">
        <v>89</v>
      </c>
      <c r="E275" s="16" t="s">
        <v>90</v>
      </c>
      <c r="G275" s="7"/>
      <c r="I275" s="7"/>
      <c r="K275" t="str">
        <f t="shared" si="12"/>
        <v/>
      </c>
      <c r="L275" t="str">
        <f t="shared" si="13"/>
        <v/>
      </c>
      <c r="M275" t="str">
        <f t="shared" si="14"/>
        <v>2025-09</v>
      </c>
    </row>
    <row r="276" spans="1:13" x14ac:dyDescent="0.25">
      <c r="A276" s="1">
        <v>45912</v>
      </c>
      <c r="B276" t="s">
        <v>96</v>
      </c>
      <c r="C276" s="2">
        <v>1000</v>
      </c>
      <c r="D276" t="s">
        <v>89</v>
      </c>
      <c r="E276" s="16" t="s">
        <v>90</v>
      </c>
      <c r="G276" s="7"/>
      <c r="I276" s="7"/>
      <c r="K276" t="str">
        <f t="shared" si="12"/>
        <v/>
      </c>
      <c r="L276" t="str">
        <f t="shared" si="13"/>
        <v/>
      </c>
      <c r="M276" t="str">
        <f t="shared" si="14"/>
        <v>2025-09</v>
      </c>
    </row>
    <row r="277" spans="1:13" x14ac:dyDescent="0.25">
      <c r="A277" s="1">
        <v>45912</v>
      </c>
      <c r="B277" t="s">
        <v>32</v>
      </c>
      <c r="C277" s="2">
        <v>5400</v>
      </c>
      <c r="D277" t="s">
        <v>89</v>
      </c>
      <c r="E277" s="16" t="s">
        <v>90</v>
      </c>
      <c r="G277" s="7"/>
      <c r="I277" s="7"/>
      <c r="K277" t="str">
        <f t="shared" si="12"/>
        <v/>
      </c>
      <c r="L277" t="str">
        <f t="shared" si="13"/>
        <v/>
      </c>
      <c r="M277" t="str">
        <f t="shared" si="14"/>
        <v>2025-09</v>
      </c>
    </row>
    <row r="278" spans="1:13" x14ac:dyDescent="0.25">
      <c r="A278" s="1">
        <v>45912</v>
      </c>
      <c r="B278" t="s">
        <v>32</v>
      </c>
      <c r="C278" s="2">
        <v>4500</v>
      </c>
      <c r="D278" t="s">
        <v>89</v>
      </c>
      <c r="E278" s="16" t="s">
        <v>90</v>
      </c>
      <c r="G278" s="7"/>
      <c r="I278" s="7"/>
      <c r="K278" t="str">
        <f t="shared" si="12"/>
        <v/>
      </c>
      <c r="L278" t="str">
        <f t="shared" si="13"/>
        <v/>
      </c>
      <c r="M278" t="str">
        <f t="shared" si="14"/>
        <v>2025-09</v>
      </c>
    </row>
    <row r="279" spans="1:13" x14ac:dyDescent="0.25">
      <c r="A279" s="1">
        <v>45912</v>
      </c>
      <c r="B279" t="s">
        <v>92</v>
      </c>
      <c r="C279" s="2">
        <v>1350</v>
      </c>
      <c r="D279" t="s">
        <v>89</v>
      </c>
      <c r="E279" s="16" t="s">
        <v>90</v>
      </c>
      <c r="G279" s="7"/>
      <c r="I279" s="7"/>
      <c r="K279" t="str">
        <f t="shared" si="12"/>
        <v/>
      </c>
      <c r="L279" t="str">
        <f t="shared" si="13"/>
        <v/>
      </c>
      <c r="M279" t="str">
        <f t="shared" si="14"/>
        <v>2025-09</v>
      </c>
    </row>
    <row r="280" spans="1:13" x14ac:dyDescent="0.25">
      <c r="A280" s="1">
        <v>45912</v>
      </c>
      <c r="B280" t="s">
        <v>29</v>
      </c>
      <c r="C280" s="2">
        <v>3600</v>
      </c>
      <c r="D280" t="s">
        <v>89</v>
      </c>
      <c r="E280" s="16" t="s">
        <v>90</v>
      </c>
      <c r="G280" s="7"/>
      <c r="I280" s="7"/>
      <c r="K280" t="str">
        <f t="shared" si="12"/>
        <v/>
      </c>
      <c r="L280" t="str">
        <f t="shared" si="13"/>
        <v/>
      </c>
      <c r="M280" t="str">
        <f t="shared" si="14"/>
        <v>2025-09</v>
      </c>
    </row>
    <row r="281" spans="1:13" x14ac:dyDescent="0.25">
      <c r="A281" s="1">
        <v>45912</v>
      </c>
      <c r="B281" t="s">
        <v>22</v>
      </c>
      <c r="C281" s="2">
        <v>1100</v>
      </c>
      <c r="D281" t="s">
        <v>89</v>
      </c>
      <c r="E281" s="16" t="s">
        <v>90</v>
      </c>
      <c r="G281" s="7"/>
      <c r="I281" s="7"/>
      <c r="K281" t="str">
        <f t="shared" si="12"/>
        <v/>
      </c>
      <c r="L281" t="str">
        <f t="shared" si="13"/>
        <v/>
      </c>
      <c r="M281" t="str">
        <f t="shared" si="14"/>
        <v>2025-09</v>
      </c>
    </row>
    <row r="282" spans="1:13" x14ac:dyDescent="0.25">
      <c r="A282" s="1">
        <v>45912</v>
      </c>
      <c r="B282" t="s">
        <v>22</v>
      </c>
      <c r="C282" s="2">
        <v>1100</v>
      </c>
      <c r="D282" t="s">
        <v>89</v>
      </c>
      <c r="E282" s="16" t="s">
        <v>90</v>
      </c>
      <c r="G282" s="7"/>
      <c r="I282" s="7"/>
      <c r="K282" t="str">
        <f t="shared" si="12"/>
        <v/>
      </c>
      <c r="L282" t="str">
        <f t="shared" si="13"/>
        <v/>
      </c>
      <c r="M282" t="str">
        <f t="shared" si="14"/>
        <v>2025-09</v>
      </c>
    </row>
    <row r="283" spans="1:13" x14ac:dyDescent="0.25">
      <c r="A283" s="1">
        <v>45915</v>
      </c>
      <c r="B283" t="s">
        <v>29</v>
      </c>
      <c r="C283" s="2">
        <v>900</v>
      </c>
      <c r="D283" t="s">
        <v>89</v>
      </c>
      <c r="E283" s="16" t="s">
        <v>90</v>
      </c>
      <c r="G283" s="7"/>
      <c r="I283" s="7"/>
      <c r="K283" t="str">
        <f t="shared" si="12"/>
        <v/>
      </c>
      <c r="L283" t="str">
        <f t="shared" si="13"/>
        <v/>
      </c>
      <c r="M283" t="str">
        <f t="shared" si="14"/>
        <v>2025-09</v>
      </c>
    </row>
    <row r="284" spans="1:13" x14ac:dyDescent="0.25">
      <c r="A284" s="1">
        <v>45915</v>
      </c>
      <c r="B284" t="s">
        <v>29</v>
      </c>
      <c r="C284" s="2">
        <v>1800</v>
      </c>
      <c r="D284" t="s">
        <v>89</v>
      </c>
      <c r="E284" s="16" t="s">
        <v>90</v>
      </c>
      <c r="G284" s="7"/>
      <c r="I284" s="7"/>
      <c r="K284" t="str">
        <f t="shared" si="12"/>
        <v/>
      </c>
      <c r="L284" t="str">
        <f t="shared" si="13"/>
        <v/>
      </c>
      <c r="M284" t="str">
        <f t="shared" si="14"/>
        <v>2025-09</v>
      </c>
    </row>
    <row r="285" spans="1:13" x14ac:dyDescent="0.25">
      <c r="A285" s="1">
        <v>45915</v>
      </c>
      <c r="B285" t="s">
        <v>25</v>
      </c>
      <c r="C285" s="2">
        <v>2000</v>
      </c>
      <c r="D285" t="s">
        <v>89</v>
      </c>
      <c r="E285" s="16" t="s">
        <v>90</v>
      </c>
      <c r="G285" s="7"/>
      <c r="I285" s="7"/>
      <c r="K285" t="str">
        <f t="shared" si="12"/>
        <v/>
      </c>
      <c r="L285" t="str">
        <f t="shared" si="13"/>
        <v/>
      </c>
      <c r="M285" t="str">
        <f t="shared" si="14"/>
        <v>2025-09</v>
      </c>
    </row>
    <row r="286" spans="1:13" x14ac:dyDescent="0.25">
      <c r="A286" s="1">
        <v>45915</v>
      </c>
      <c r="B286" t="s">
        <v>96</v>
      </c>
      <c r="C286" s="2">
        <v>2250</v>
      </c>
      <c r="D286" t="s">
        <v>89</v>
      </c>
      <c r="E286" s="16" t="s">
        <v>90</v>
      </c>
      <c r="G286" s="7"/>
      <c r="I286" s="7"/>
      <c r="K286" t="str">
        <f t="shared" si="12"/>
        <v/>
      </c>
      <c r="L286" t="str">
        <f t="shared" si="13"/>
        <v/>
      </c>
      <c r="M286" t="str">
        <f t="shared" si="14"/>
        <v>2025-09</v>
      </c>
    </row>
    <row r="287" spans="1:13" x14ac:dyDescent="0.25">
      <c r="A287" s="1">
        <v>45915</v>
      </c>
      <c r="B287" t="s">
        <v>92</v>
      </c>
      <c r="C287" s="2">
        <v>1350</v>
      </c>
      <c r="D287" t="s">
        <v>89</v>
      </c>
      <c r="E287" s="16" t="s">
        <v>90</v>
      </c>
      <c r="G287" s="7"/>
      <c r="I287" s="7"/>
      <c r="K287" t="str">
        <f t="shared" si="12"/>
        <v/>
      </c>
      <c r="L287" t="str">
        <f t="shared" si="13"/>
        <v/>
      </c>
      <c r="M287" t="str">
        <f t="shared" si="14"/>
        <v>2025-09</v>
      </c>
    </row>
    <row r="288" spans="1:13" x14ac:dyDescent="0.25">
      <c r="A288" s="1">
        <v>45915</v>
      </c>
      <c r="B288" t="s">
        <v>92</v>
      </c>
      <c r="C288" s="2">
        <v>2700</v>
      </c>
      <c r="D288" t="s">
        <v>89</v>
      </c>
      <c r="E288" s="16" t="s">
        <v>90</v>
      </c>
      <c r="G288" s="7"/>
      <c r="I288" s="7"/>
      <c r="K288" t="str">
        <f t="shared" si="12"/>
        <v/>
      </c>
      <c r="L288" t="str">
        <f t="shared" si="13"/>
        <v/>
      </c>
      <c r="M288" t="str">
        <f t="shared" si="14"/>
        <v>2025-09</v>
      </c>
    </row>
    <row r="289" spans="1:13" x14ac:dyDescent="0.25">
      <c r="A289" s="1">
        <v>45915</v>
      </c>
      <c r="B289" t="s">
        <v>92</v>
      </c>
      <c r="C289" s="2">
        <v>2700</v>
      </c>
      <c r="D289" t="s">
        <v>89</v>
      </c>
      <c r="E289" s="16" t="s">
        <v>90</v>
      </c>
      <c r="G289" s="7"/>
      <c r="I289" s="7"/>
      <c r="K289" t="str">
        <f t="shared" si="12"/>
        <v/>
      </c>
      <c r="L289" t="str">
        <f t="shared" si="13"/>
        <v/>
      </c>
      <c r="M289" t="str">
        <f t="shared" si="14"/>
        <v>2025-09</v>
      </c>
    </row>
    <row r="290" spans="1:13" x14ac:dyDescent="0.25">
      <c r="A290" s="1">
        <v>45915</v>
      </c>
      <c r="B290" t="s">
        <v>91</v>
      </c>
      <c r="C290" s="2">
        <v>3000</v>
      </c>
      <c r="D290" t="s">
        <v>89</v>
      </c>
      <c r="E290" s="16" t="s">
        <v>90</v>
      </c>
      <c r="G290" s="7"/>
      <c r="I290" s="7"/>
      <c r="K290" t="str">
        <f t="shared" si="12"/>
        <v/>
      </c>
      <c r="L290" t="str">
        <f t="shared" si="13"/>
        <v/>
      </c>
      <c r="M290" t="str">
        <f t="shared" si="14"/>
        <v>2025-09</v>
      </c>
    </row>
    <row r="291" spans="1:13" x14ac:dyDescent="0.25">
      <c r="A291" s="1">
        <v>45916</v>
      </c>
      <c r="B291" t="s">
        <v>33</v>
      </c>
      <c r="C291" s="2">
        <v>10400</v>
      </c>
      <c r="D291" t="s">
        <v>89</v>
      </c>
      <c r="E291" s="16" t="s">
        <v>90</v>
      </c>
      <c r="G291" s="7"/>
      <c r="I291" s="7"/>
      <c r="K291" t="str">
        <f t="shared" si="12"/>
        <v/>
      </c>
      <c r="L291" t="str">
        <f t="shared" si="13"/>
        <v/>
      </c>
      <c r="M291" t="str">
        <f t="shared" si="14"/>
        <v>2025-09</v>
      </c>
    </row>
    <row r="292" spans="1:13" x14ac:dyDescent="0.25">
      <c r="A292" s="1">
        <v>45916</v>
      </c>
      <c r="B292" t="s">
        <v>31</v>
      </c>
      <c r="C292" s="2">
        <v>10000</v>
      </c>
      <c r="D292" t="s">
        <v>89</v>
      </c>
      <c r="E292" s="16" t="s">
        <v>90</v>
      </c>
      <c r="G292" s="7"/>
      <c r="I292" s="7"/>
      <c r="K292" t="str">
        <f t="shared" si="12"/>
        <v/>
      </c>
      <c r="L292" t="str">
        <f t="shared" si="13"/>
        <v/>
      </c>
      <c r="M292" t="str">
        <f t="shared" si="14"/>
        <v>2025-09</v>
      </c>
    </row>
    <row r="293" spans="1:13" x14ac:dyDescent="0.25">
      <c r="A293" s="1">
        <v>45916</v>
      </c>
      <c r="B293" t="s">
        <v>28</v>
      </c>
      <c r="C293" s="2">
        <v>240</v>
      </c>
      <c r="D293" t="s">
        <v>89</v>
      </c>
      <c r="E293" s="16" t="s">
        <v>90</v>
      </c>
      <c r="G293" s="7"/>
      <c r="I293" s="7"/>
      <c r="K293" t="str">
        <f t="shared" si="12"/>
        <v/>
      </c>
      <c r="L293" t="str">
        <f t="shared" si="13"/>
        <v/>
      </c>
      <c r="M293" t="str">
        <f t="shared" si="14"/>
        <v>2025-09</v>
      </c>
    </row>
    <row r="294" spans="1:13" x14ac:dyDescent="0.25">
      <c r="A294" s="1">
        <v>45916</v>
      </c>
      <c r="B294" t="s">
        <v>91</v>
      </c>
      <c r="C294" s="2">
        <v>3000</v>
      </c>
      <c r="D294" t="s">
        <v>89</v>
      </c>
      <c r="E294" s="16" t="s">
        <v>90</v>
      </c>
      <c r="G294" s="7"/>
      <c r="I294" s="7"/>
      <c r="K294" t="str">
        <f t="shared" si="12"/>
        <v/>
      </c>
      <c r="L294" t="str">
        <f t="shared" si="13"/>
        <v/>
      </c>
      <c r="M294" t="str">
        <f t="shared" si="14"/>
        <v>2025-09</v>
      </c>
    </row>
    <row r="295" spans="1:13" x14ac:dyDescent="0.25">
      <c r="A295" s="1">
        <v>45916</v>
      </c>
      <c r="B295" t="s">
        <v>91</v>
      </c>
      <c r="C295" s="2">
        <v>1500</v>
      </c>
      <c r="D295" t="s">
        <v>89</v>
      </c>
      <c r="E295" s="16" t="s">
        <v>90</v>
      </c>
      <c r="G295" s="7"/>
      <c r="I295" s="7"/>
      <c r="K295" t="str">
        <f t="shared" si="12"/>
        <v/>
      </c>
      <c r="L295" t="str">
        <f t="shared" si="13"/>
        <v/>
      </c>
      <c r="M295" t="str">
        <f t="shared" si="14"/>
        <v>2025-09</v>
      </c>
    </row>
    <row r="296" spans="1:13" x14ac:dyDescent="0.25">
      <c r="A296" s="1">
        <v>45916</v>
      </c>
      <c r="B296" t="s">
        <v>91</v>
      </c>
      <c r="C296" s="2">
        <v>1500</v>
      </c>
      <c r="D296" t="s">
        <v>89</v>
      </c>
      <c r="E296" s="16" t="s">
        <v>90</v>
      </c>
      <c r="G296" s="7"/>
      <c r="I296" s="7"/>
      <c r="K296" t="str">
        <f t="shared" si="12"/>
        <v/>
      </c>
      <c r="L296" t="str">
        <f t="shared" si="13"/>
        <v/>
      </c>
      <c r="M296" t="str">
        <f t="shared" si="14"/>
        <v>2025-09</v>
      </c>
    </row>
    <row r="297" spans="1:13" x14ac:dyDescent="0.25">
      <c r="A297" s="1">
        <v>45916</v>
      </c>
      <c r="B297" t="s">
        <v>91</v>
      </c>
      <c r="C297" s="2">
        <v>1500</v>
      </c>
      <c r="D297" t="s">
        <v>89</v>
      </c>
      <c r="E297" s="16" t="s">
        <v>90</v>
      </c>
      <c r="G297" s="7"/>
      <c r="I297" s="7"/>
      <c r="K297" t="str">
        <f t="shared" si="12"/>
        <v/>
      </c>
      <c r="L297" t="str">
        <f t="shared" si="13"/>
        <v/>
      </c>
      <c r="M297" t="str">
        <f t="shared" si="14"/>
        <v>2025-09</v>
      </c>
    </row>
    <row r="298" spans="1:13" x14ac:dyDescent="0.25">
      <c r="A298" s="1">
        <v>45916</v>
      </c>
      <c r="B298" t="s">
        <v>91</v>
      </c>
      <c r="C298" s="2">
        <v>1500</v>
      </c>
      <c r="D298" t="s">
        <v>89</v>
      </c>
      <c r="E298" s="16" t="s">
        <v>90</v>
      </c>
      <c r="G298" s="7"/>
      <c r="I298" s="7"/>
      <c r="K298" t="str">
        <f t="shared" si="12"/>
        <v/>
      </c>
      <c r="L298" t="str">
        <f t="shared" si="13"/>
        <v/>
      </c>
      <c r="M298" t="str">
        <f t="shared" si="14"/>
        <v>2025-09</v>
      </c>
    </row>
    <row r="299" spans="1:13" x14ac:dyDescent="0.25">
      <c r="A299" s="1">
        <v>45916</v>
      </c>
      <c r="B299" t="s">
        <v>92</v>
      </c>
      <c r="C299" s="2">
        <v>1350</v>
      </c>
      <c r="D299" t="s">
        <v>89</v>
      </c>
      <c r="E299" s="16" t="s">
        <v>90</v>
      </c>
      <c r="G299" s="7"/>
      <c r="I299" s="7"/>
      <c r="K299" t="str">
        <f t="shared" si="12"/>
        <v/>
      </c>
      <c r="L299" t="str">
        <f t="shared" si="13"/>
        <v/>
      </c>
      <c r="M299" t="str">
        <f t="shared" si="14"/>
        <v>2025-09</v>
      </c>
    </row>
    <row r="300" spans="1:13" x14ac:dyDescent="0.25">
      <c r="A300" s="1">
        <v>45916</v>
      </c>
      <c r="B300" t="s">
        <v>99</v>
      </c>
      <c r="C300" s="2">
        <v>12100</v>
      </c>
      <c r="D300" t="s">
        <v>89</v>
      </c>
      <c r="E300" s="16" t="s">
        <v>90</v>
      </c>
      <c r="G300" s="7"/>
      <c r="I300" s="7"/>
      <c r="K300" t="str">
        <f t="shared" si="12"/>
        <v/>
      </c>
      <c r="L300" t="str">
        <f t="shared" si="13"/>
        <v/>
      </c>
      <c r="M300" t="str">
        <f t="shared" si="14"/>
        <v>2025-09</v>
      </c>
    </row>
    <row r="301" spans="1:13" x14ac:dyDescent="0.25">
      <c r="A301" s="1">
        <v>45916</v>
      </c>
      <c r="B301" t="s">
        <v>92</v>
      </c>
      <c r="C301" s="2">
        <v>1400</v>
      </c>
      <c r="D301" t="s">
        <v>89</v>
      </c>
      <c r="E301" s="16" t="s">
        <v>90</v>
      </c>
      <c r="G301" s="7"/>
      <c r="I301" s="7"/>
      <c r="K301" t="str">
        <f t="shared" si="12"/>
        <v/>
      </c>
      <c r="L301" t="str">
        <f t="shared" si="13"/>
        <v/>
      </c>
      <c r="M301" t="str">
        <f t="shared" si="14"/>
        <v>2025-09</v>
      </c>
    </row>
    <row r="302" spans="1:13" x14ac:dyDescent="0.25">
      <c r="A302" s="1">
        <v>45916</v>
      </c>
      <c r="B302" t="s">
        <v>28</v>
      </c>
      <c r="C302" s="2">
        <v>3000</v>
      </c>
      <c r="D302" t="s">
        <v>89</v>
      </c>
      <c r="E302" s="16" t="s">
        <v>90</v>
      </c>
      <c r="G302" s="7"/>
      <c r="I302" s="7"/>
      <c r="K302" t="str">
        <f t="shared" si="12"/>
        <v/>
      </c>
      <c r="L302" t="str">
        <f t="shared" si="13"/>
        <v/>
      </c>
      <c r="M302" t="str">
        <f t="shared" si="14"/>
        <v>2025-09</v>
      </c>
    </row>
    <row r="303" spans="1:13" x14ac:dyDescent="0.25">
      <c r="A303" s="1">
        <v>45917</v>
      </c>
      <c r="B303" t="s">
        <v>92</v>
      </c>
      <c r="C303" s="2">
        <v>13500</v>
      </c>
      <c r="D303" t="s">
        <v>89</v>
      </c>
      <c r="E303" s="16" t="s">
        <v>90</v>
      </c>
      <c r="G303" s="7"/>
      <c r="I303" s="7"/>
      <c r="K303" t="str">
        <f t="shared" si="12"/>
        <v/>
      </c>
      <c r="L303" t="str">
        <f t="shared" si="13"/>
        <v/>
      </c>
      <c r="M303" t="str">
        <f t="shared" si="14"/>
        <v>2025-09</v>
      </c>
    </row>
    <row r="304" spans="1:13" x14ac:dyDescent="0.25">
      <c r="A304" s="1">
        <v>45917</v>
      </c>
      <c r="B304" t="s">
        <v>92</v>
      </c>
      <c r="C304" s="2">
        <v>2700</v>
      </c>
      <c r="D304" t="s">
        <v>89</v>
      </c>
      <c r="E304" s="16" t="s">
        <v>90</v>
      </c>
      <c r="G304" s="7"/>
      <c r="I304" s="7"/>
      <c r="K304" t="str">
        <f t="shared" si="12"/>
        <v/>
      </c>
      <c r="L304" t="str">
        <f t="shared" si="13"/>
        <v/>
      </c>
      <c r="M304" t="str">
        <f t="shared" si="14"/>
        <v>2025-09</v>
      </c>
    </row>
    <row r="305" spans="1:13" x14ac:dyDescent="0.25">
      <c r="A305" s="1">
        <v>45917</v>
      </c>
      <c r="B305" t="s">
        <v>92</v>
      </c>
      <c r="C305" s="2">
        <v>2700</v>
      </c>
      <c r="D305" t="s">
        <v>89</v>
      </c>
      <c r="E305" s="16" t="s">
        <v>90</v>
      </c>
      <c r="G305" s="7"/>
      <c r="I305" s="7"/>
      <c r="K305" t="str">
        <f t="shared" si="12"/>
        <v/>
      </c>
      <c r="L305" t="str">
        <f t="shared" si="13"/>
        <v/>
      </c>
      <c r="M305" t="str">
        <f t="shared" si="14"/>
        <v>2025-09</v>
      </c>
    </row>
    <row r="306" spans="1:13" x14ac:dyDescent="0.25">
      <c r="A306" s="1">
        <v>45917</v>
      </c>
      <c r="B306" t="s">
        <v>91</v>
      </c>
      <c r="C306" s="2">
        <v>6200</v>
      </c>
      <c r="D306" t="s">
        <v>89</v>
      </c>
      <c r="E306" s="16" t="s">
        <v>90</v>
      </c>
      <c r="G306" s="7"/>
      <c r="I306" s="7"/>
      <c r="K306" t="str">
        <f t="shared" si="12"/>
        <v/>
      </c>
      <c r="L306" t="str">
        <f t="shared" si="13"/>
        <v/>
      </c>
      <c r="M306" t="str">
        <f t="shared" si="14"/>
        <v>2025-09</v>
      </c>
    </row>
    <row r="307" spans="1:13" x14ac:dyDescent="0.25">
      <c r="A307" s="1">
        <v>45917</v>
      </c>
      <c r="B307" t="s">
        <v>17</v>
      </c>
      <c r="C307" s="2">
        <v>400</v>
      </c>
      <c r="D307" t="s">
        <v>89</v>
      </c>
      <c r="E307" s="16" t="s">
        <v>90</v>
      </c>
      <c r="G307" s="7"/>
      <c r="I307" s="7"/>
      <c r="K307" t="str">
        <f t="shared" si="12"/>
        <v/>
      </c>
      <c r="L307" t="str">
        <f t="shared" si="13"/>
        <v/>
      </c>
      <c r="M307" t="str">
        <f t="shared" si="14"/>
        <v>2025-09</v>
      </c>
    </row>
    <row r="308" spans="1:13" x14ac:dyDescent="0.25">
      <c r="A308" s="1">
        <v>45917</v>
      </c>
      <c r="B308" t="s">
        <v>2</v>
      </c>
      <c r="C308" s="2">
        <v>120</v>
      </c>
      <c r="D308" t="s">
        <v>89</v>
      </c>
      <c r="E308" s="16" t="s">
        <v>90</v>
      </c>
      <c r="G308" s="7"/>
      <c r="I308" s="7"/>
      <c r="K308" t="str">
        <f t="shared" si="12"/>
        <v/>
      </c>
      <c r="L308" t="str">
        <f t="shared" si="13"/>
        <v/>
      </c>
      <c r="M308" t="str">
        <f t="shared" si="14"/>
        <v>2025-09</v>
      </c>
    </row>
    <row r="309" spans="1:13" x14ac:dyDescent="0.25">
      <c r="A309" s="1">
        <v>45917</v>
      </c>
      <c r="B309" t="s">
        <v>91</v>
      </c>
      <c r="C309" s="2">
        <v>3000</v>
      </c>
      <c r="D309" t="s">
        <v>89</v>
      </c>
      <c r="E309" s="16" t="s">
        <v>90</v>
      </c>
      <c r="G309" s="7"/>
      <c r="I309" s="7"/>
      <c r="K309" t="str">
        <f t="shared" si="12"/>
        <v/>
      </c>
      <c r="L309" t="str">
        <f t="shared" si="13"/>
        <v/>
      </c>
      <c r="M309" t="str">
        <f t="shared" si="14"/>
        <v>2025-09</v>
      </c>
    </row>
    <row r="310" spans="1:13" x14ac:dyDescent="0.25">
      <c r="A310" s="1">
        <v>45917</v>
      </c>
      <c r="B310" t="s">
        <v>17</v>
      </c>
      <c r="C310" s="2">
        <v>1000</v>
      </c>
      <c r="D310" t="s">
        <v>89</v>
      </c>
      <c r="E310" s="16" t="s">
        <v>90</v>
      </c>
      <c r="G310" s="7"/>
      <c r="I310" s="7"/>
      <c r="K310" t="str">
        <f t="shared" si="12"/>
        <v/>
      </c>
      <c r="L310" t="str">
        <f t="shared" si="13"/>
        <v/>
      </c>
      <c r="M310" t="str">
        <f t="shared" si="14"/>
        <v>2025-09</v>
      </c>
    </row>
    <row r="311" spans="1:13" x14ac:dyDescent="0.25">
      <c r="A311" s="1">
        <v>45917</v>
      </c>
      <c r="B311" t="s">
        <v>31</v>
      </c>
      <c r="C311" s="2">
        <v>5000</v>
      </c>
      <c r="D311" t="s">
        <v>89</v>
      </c>
      <c r="E311" s="16" t="s">
        <v>90</v>
      </c>
      <c r="G311" s="7"/>
      <c r="I311" s="7"/>
      <c r="K311" t="str">
        <f t="shared" si="12"/>
        <v/>
      </c>
      <c r="L311" t="str">
        <f t="shared" si="13"/>
        <v/>
      </c>
      <c r="M311" t="str">
        <f t="shared" si="14"/>
        <v>2025-09</v>
      </c>
    </row>
    <row r="312" spans="1:13" x14ac:dyDescent="0.25">
      <c r="A312" s="1">
        <v>45917</v>
      </c>
      <c r="B312" t="s">
        <v>29</v>
      </c>
      <c r="C312" s="2">
        <v>1800</v>
      </c>
      <c r="D312" t="s">
        <v>89</v>
      </c>
      <c r="E312" s="16" t="s">
        <v>90</v>
      </c>
      <c r="G312" s="7"/>
      <c r="I312" s="7"/>
      <c r="K312" t="str">
        <f t="shared" si="12"/>
        <v/>
      </c>
      <c r="L312" t="str">
        <f t="shared" si="13"/>
        <v/>
      </c>
      <c r="M312" t="str">
        <f t="shared" si="14"/>
        <v>2025-09</v>
      </c>
    </row>
    <row r="313" spans="1:13" x14ac:dyDescent="0.25">
      <c r="A313" s="1">
        <v>45917</v>
      </c>
      <c r="B313" t="s">
        <v>29</v>
      </c>
      <c r="C313" s="2">
        <v>3600</v>
      </c>
      <c r="D313" t="s">
        <v>89</v>
      </c>
      <c r="E313" s="16" t="s">
        <v>90</v>
      </c>
      <c r="G313" s="7"/>
      <c r="I313" s="7"/>
      <c r="K313" t="str">
        <f t="shared" si="12"/>
        <v/>
      </c>
      <c r="L313" t="str">
        <f t="shared" si="13"/>
        <v/>
      </c>
      <c r="M313" t="str">
        <f t="shared" si="14"/>
        <v>2025-09</v>
      </c>
    </row>
    <row r="314" spans="1:13" x14ac:dyDescent="0.25">
      <c r="A314" s="1">
        <v>45917</v>
      </c>
      <c r="B314" t="s">
        <v>104</v>
      </c>
      <c r="C314" s="2">
        <v>1100</v>
      </c>
      <c r="D314" t="s">
        <v>89</v>
      </c>
      <c r="E314" s="16" t="s">
        <v>90</v>
      </c>
      <c r="G314" s="7"/>
      <c r="I314" s="7"/>
      <c r="K314" t="str">
        <f t="shared" si="12"/>
        <v/>
      </c>
      <c r="L314" t="str">
        <f t="shared" si="13"/>
        <v/>
      </c>
      <c r="M314" t="str">
        <f t="shared" si="14"/>
        <v>2025-09</v>
      </c>
    </row>
    <row r="315" spans="1:13" x14ac:dyDescent="0.25">
      <c r="A315" s="1">
        <v>45918</v>
      </c>
      <c r="B315" t="s">
        <v>33</v>
      </c>
      <c r="C315" s="2">
        <v>10400</v>
      </c>
      <c r="D315" t="s">
        <v>89</v>
      </c>
      <c r="E315" s="16" t="s">
        <v>90</v>
      </c>
      <c r="G315" s="7"/>
      <c r="I315" s="7"/>
      <c r="K315" t="str">
        <f t="shared" si="12"/>
        <v/>
      </c>
      <c r="L315" t="str">
        <f t="shared" si="13"/>
        <v/>
      </c>
      <c r="M315" t="str">
        <f t="shared" si="14"/>
        <v>2025-09</v>
      </c>
    </row>
    <row r="316" spans="1:13" x14ac:dyDescent="0.25">
      <c r="A316" s="1">
        <v>45918</v>
      </c>
      <c r="B316" t="s">
        <v>34</v>
      </c>
      <c r="C316" s="2">
        <v>8800</v>
      </c>
      <c r="D316" t="s">
        <v>89</v>
      </c>
      <c r="E316" s="16" t="s">
        <v>90</v>
      </c>
      <c r="G316" s="7"/>
      <c r="I316" s="7"/>
      <c r="K316" t="str">
        <f t="shared" si="12"/>
        <v/>
      </c>
      <c r="L316" t="str">
        <f t="shared" si="13"/>
        <v/>
      </c>
      <c r="M316" t="str">
        <f t="shared" si="14"/>
        <v>2025-09</v>
      </c>
    </row>
    <row r="317" spans="1:13" x14ac:dyDescent="0.25">
      <c r="A317" s="1">
        <v>45918</v>
      </c>
      <c r="B317" t="s">
        <v>26</v>
      </c>
      <c r="C317" s="2">
        <v>1050</v>
      </c>
      <c r="D317" t="s">
        <v>89</v>
      </c>
      <c r="E317" s="16" t="s">
        <v>90</v>
      </c>
      <c r="G317" s="7"/>
      <c r="I317" s="7"/>
      <c r="K317" t="str">
        <f t="shared" si="12"/>
        <v/>
      </c>
      <c r="L317" t="str">
        <f t="shared" si="13"/>
        <v/>
      </c>
      <c r="M317" t="str">
        <f t="shared" si="14"/>
        <v>2025-09</v>
      </c>
    </row>
    <row r="318" spans="1:13" x14ac:dyDescent="0.25">
      <c r="A318" s="1">
        <v>45918</v>
      </c>
      <c r="B318" t="s">
        <v>92</v>
      </c>
      <c r="C318" s="2">
        <v>3600</v>
      </c>
      <c r="D318" t="s">
        <v>89</v>
      </c>
      <c r="E318" s="16" t="s">
        <v>90</v>
      </c>
      <c r="G318" s="7"/>
      <c r="I318" s="7"/>
      <c r="K318" t="str">
        <f t="shared" si="12"/>
        <v/>
      </c>
      <c r="L318" t="str">
        <f t="shared" si="13"/>
        <v/>
      </c>
      <c r="M318" t="str">
        <f t="shared" si="14"/>
        <v>2025-09</v>
      </c>
    </row>
    <row r="319" spans="1:13" x14ac:dyDescent="0.25">
      <c r="A319" s="1">
        <v>45918</v>
      </c>
      <c r="B319" t="s">
        <v>92</v>
      </c>
      <c r="C319" s="2">
        <v>2700</v>
      </c>
      <c r="D319" t="s">
        <v>89</v>
      </c>
      <c r="E319" s="16" t="s">
        <v>90</v>
      </c>
      <c r="G319" s="7"/>
      <c r="I319" s="7"/>
      <c r="K319" t="str">
        <f t="shared" si="12"/>
        <v/>
      </c>
      <c r="L319" t="str">
        <f t="shared" si="13"/>
        <v/>
      </c>
      <c r="M319" t="str">
        <f t="shared" si="14"/>
        <v>2025-09</v>
      </c>
    </row>
    <row r="320" spans="1:13" x14ac:dyDescent="0.25">
      <c r="A320" s="1">
        <v>45918</v>
      </c>
      <c r="B320" t="s">
        <v>92</v>
      </c>
      <c r="C320" s="2">
        <v>5400</v>
      </c>
      <c r="D320" t="s">
        <v>89</v>
      </c>
      <c r="E320" s="16" t="s">
        <v>90</v>
      </c>
      <c r="G320" s="7"/>
      <c r="I320" s="7"/>
      <c r="K320" t="str">
        <f t="shared" si="12"/>
        <v/>
      </c>
      <c r="L320" t="str">
        <f t="shared" si="13"/>
        <v/>
      </c>
      <c r="M320" t="str">
        <f t="shared" si="14"/>
        <v>2025-09</v>
      </c>
    </row>
    <row r="321" spans="1:13" x14ac:dyDescent="0.25">
      <c r="A321" s="1">
        <v>45918</v>
      </c>
      <c r="B321" t="s">
        <v>91</v>
      </c>
      <c r="C321" s="2">
        <v>1500</v>
      </c>
      <c r="D321" t="s">
        <v>89</v>
      </c>
      <c r="E321" s="16" t="s">
        <v>90</v>
      </c>
      <c r="G321" s="7"/>
      <c r="I321" s="7"/>
      <c r="K321" t="str">
        <f t="shared" si="12"/>
        <v/>
      </c>
      <c r="L321" t="str">
        <f t="shared" si="13"/>
        <v/>
      </c>
      <c r="M321" t="str">
        <f t="shared" si="14"/>
        <v>2025-09</v>
      </c>
    </row>
    <row r="322" spans="1:13" x14ac:dyDescent="0.25">
      <c r="A322" s="1">
        <v>45918</v>
      </c>
      <c r="B322" t="s">
        <v>91</v>
      </c>
      <c r="C322" s="2">
        <v>3000</v>
      </c>
      <c r="D322" t="s">
        <v>89</v>
      </c>
      <c r="E322" s="16" t="s">
        <v>90</v>
      </c>
      <c r="G322" s="7"/>
      <c r="I322" s="7"/>
      <c r="K322" t="str">
        <f t="shared" ref="K322:K385" si="15">IF(AND(L322&lt;&gt;"",C322&gt;0),L322/C322,"")</f>
        <v/>
      </c>
      <c r="L322" t="str">
        <f t="shared" ref="L322:L385" si="16">IF(AND(D322="FINALIZADO",H322&lt;&gt;""),VALUE(LEFT(H322,FIND("h",H322)-1))*60+VALUE(MID(H322,FIND("h",H322)+2,FIND("min",H322)-FIND("h",H322)-2)),"")</f>
        <v/>
      </c>
      <c r="M322" t="str">
        <f t="shared" ref="M322:M385" si="17">TEXT(YEAR(A322),"0000")&amp;"-"&amp;TEXT(MONTH(A322),"00")</f>
        <v>2025-09</v>
      </c>
    </row>
    <row r="323" spans="1:13" x14ac:dyDescent="0.25">
      <c r="A323" s="1">
        <v>45918</v>
      </c>
      <c r="B323" t="s">
        <v>91</v>
      </c>
      <c r="C323" s="2">
        <v>7500</v>
      </c>
      <c r="D323" t="s">
        <v>89</v>
      </c>
      <c r="E323" s="16" t="s">
        <v>90</v>
      </c>
      <c r="G323" s="7"/>
      <c r="I323" s="7"/>
      <c r="K323" t="str">
        <f t="shared" si="15"/>
        <v/>
      </c>
      <c r="L323" t="str">
        <f t="shared" si="16"/>
        <v/>
      </c>
      <c r="M323" t="str">
        <f t="shared" si="17"/>
        <v>2025-09</v>
      </c>
    </row>
    <row r="324" spans="1:13" x14ac:dyDescent="0.25">
      <c r="A324" s="1">
        <v>45918</v>
      </c>
      <c r="B324" t="s">
        <v>100</v>
      </c>
      <c r="C324" s="2">
        <v>1000</v>
      </c>
      <c r="D324" t="s">
        <v>89</v>
      </c>
      <c r="E324" s="16" t="s">
        <v>90</v>
      </c>
      <c r="G324" s="7"/>
      <c r="I324" s="7"/>
      <c r="K324" t="str">
        <f t="shared" si="15"/>
        <v/>
      </c>
      <c r="L324" t="str">
        <f t="shared" si="16"/>
        <v/>
      </c>
      <c r="M324" t="str">
        <f t="shared" si="17"/>
        <v>2025-09</v>
      </c>
    </row>
    <row r="325" spans="1:13" x14ac:dyDescent="0.25">
      <c r="A325" s="1">
        <v>45919</v>
      </c>
      <c r="B325" t="s">
        <v>91</v>
      </c>
      <c r="C325" s="2">
        <v>1500</v>
      </c>
      <c r="D325" t="s">
        <v>89</v>
      </c>
      <c r="E325" s="16" t="s">
        <v>90</v>
      </c>
      <c r="G325" s="7"/>
      <c r="I325" s="7"/>
      <c r="K325" t="str">
        <f t="shared" si="15"/>
        <v/>
      </c>
      <c r="L325" t="str">
        <f t="shared" si="16"/>
        <v/>
      </c>
      <c r="M325" t="str">
        <f t="shared" si="17"/>
        <v>2025-09</v>
      </c>
    </row>
    <row r="326" spans="1:13" x14ac:dyDescent="0.25">
      <c r="A326" s="1">
        <v>45919</v>
      </c>
      <c r="B326" t="s">
        <v>92</v>
      </c>
      <c r="C326" s="2">
        <v>4050</v>
      </c>
      <c r="D326" t="s">
        <v>89</v>
      </c>
      <c r="E326" s="16" t="s">
        <v>90</v>
      </c>
      <c r="G326" s="7"/>
      <c r="I326" s="7"/>
      <c r="K326" t="str">
        <f t="shared" si="15"/>
        <v/>
      </c>
      <c r="L326" t="str">
        <f t="shared" si="16"/>
        <v/>
      </c>
      <c r="M326" t="str">
        <f t="shared" si="17"/>
        <v>2025-09</v>
      </c>
    </row>
    <row r="327" spans="1:13" x14ac:dyDescent="0.25">
      <c r="A327" s="1">
        <v>45919</v>
      </c>
      <c r="B327" t="s">
        <v>99</v>
      </c>
      <c r="C327" s="2">
        <v>1100</v>
      </c>
      <c r="D327" t="s">
        <v>89</v>
      </c>
      <c r="E327" s="16" t="s">
        <v>90</v>
      </c>
      <c r="G327" s="7"/>
      <c r="I327" s="7"/>
      <c r="K327" t="str">
        <f t="shared" si="15"/>
        <v/>
      </c>
      <c r="L327" t="str">
        <f t="shared" si="16"/>
        <v/>
      </c>
      <c r="M327" t="str">
        <f t="shared" si="17"/>
        <v>2025-09</v>
      </c>
    </row>
    <row r="328" spans="1:13" x14ac:dyDescent="0.25">
      <c r="A328" s="1">
        <v>45919</v>
      </c>
      <c r="B328" t="s">
        <v>94</v>
      </c>
      <c r="C328" s="2">
        <v>1000</v>
      </c>
      <c r="D328" t="s">
        <v>89</v>
      </c>
      <c r="E328" s="16" t="s">
        <v>90</v>
      </c>
      <c r="G328" s="7"/>
      <c r="I328" s="7"/>
      <c r="K328" t="str">
        <f t="shared" si="15"/>
        <v/>
      </c>
      <c r="L328" t="str">
        <f t="shared" si="16"/>
        <v/>
      </c>
      <c r="M328" t="str">
        <f t="shared" si="17"/>
        <v>2025-09</v>
      </c>
    </row>
    <row r="329" spans="1:13" x14ac:dyDescent="0.25">
      <c r="A329" s="1">
        <v>45919</v>
      </c>
      <c r="B329" t="s">
        <v>13</v>
      </c>
      <c r="C329" s="2">
        <v>1000</v>
      </c>
      <c r="D329" t="s">
        <v>89</v>
      </c>
      <c r="E329" s="16" t="s">
        <v>90</v>
      </c>
      <c r="G329" s="7"/>
      <c r="I329" s="7"/>
      <c r="K329" t="str">
        <f t="shared" si="15"/>
        <v/>
      </c>
      <c r="L329" t="str">
        <f t="shared" si="16"/>
        <v/>
      </c>
      <c r="M329" t="str">
        <f t="shared" si="17"/>
        <v>2025-09</v>
      </c>
    </row>
    <row r="330" spans="1:13" x14ac:dyDescent="0.25">
      <c r="A330" s="1">
        <v>45919</v>
      </c>
      <c r="B330" t="s">
        <v>29</v>
      </c>
      <c r="C330" s="2">
        <v>900</v>
      </c>
      <c r="D330" t="s">
        <v>89</v>
      </c>
      <c r="E330" s="16" t="s">
        <v>90</v>
      </c>
      <c r="G330" s="7"/>
      <c r="I330" s="7"/>
      <c r="K330" t="str">
        <f t="shared" si="15"/>
        <v/>
      </c>
      <c r="L330" t="str">
        <f t="shared" si="16"/>
        <v/>
      </c>
      <c r="M330" t="str">
        <f t="shared" si="17"/>
        <v>2025-09</v>
      </c>
    </row>
    <row r="331" spans="1:13" x14ac:dyDescent="0.25">
      <c r="A331" s="1">
        <v>45919</v>
      </c>
      <c r="B331" t="s">
        <v>35</v>
      </c>
      <c r="C331" s="2">
        <v>9800</v>
      </c>
      <c r="D331" t="s">
        <v>89</v>
      </c>
      <c r="E331" s="16" t="s">
        <v>90</v>
      </c>
      <c r="G331" s="7"/>
      <c r="I331" s="7"/>
      <c r="K331" t="str">
        <f t="shared" si="15"/>
        <v/>
      </c>
      <c r="L331" t="str">
        <f t="shared" si="16"/>
        <v/>
      </c>
      <c r="M331" t="str">
        <f t="shared" si="17"/>
        <v>2025-09</v>
      </c>
    </row>
    <row r="332" spans="1:13" x14ac:dyDescent="0.25">
      <c r="A332" s="1">
        <v>45922</v>
      </c>
      <c r="B332" t="s">
        <v>30</v>
      </c>
      <c r="C332" s="2">
        <v>8500</v>
      </c>
      <c r="D332" t="s">
        <v>89</v>
      </c>
      <c r="E332" s="16" t="s">
        <v>90</v>
      </c>
      <c r="G332" s="7"/>
      <c r="I332" s="7"/>
      <c r="K332" t="str">
        <f t="shared" si="15"/>
        <v/>
      </c>
      <c r="L332" t="str">
        <f t="shared" si="16"/>
        <v/>
      </c>
      <c r="M332" t="str">
        <f t="shared" si="17"/>
        <v>2025-09</v>
      </c>
    </row>
    <row r="333" spans="1:13" x14ac:dyDescent="0.25">
      <c r="A333" s="1">
        <v>45922</v>
      </c>
      <c r="B333" t="s">
        <v>33</v>
      </c>
      <c r="C333" s="2">
        <v>1050</v>
      </c>
      <c r="D333" t="s">
        <v>89</v>
      </c>
      <c r="E333" s="16" t="s">
        <v>90</v>
      </c>
      <c r="G333" s="7"/>
      <c r="I333" s="7"/>
      <c r="K333" t="str">
        <f t="shared" si="15"/>
        <v/>
      </c>
      <c r="L333" t="str">
        <f t="shared" si="16"/>
        <v/>
      </c>
      <c r="M333" t="str">
        <f t="shared" si="17"/>
        <v>2025-09</v>
      </c>
    </row>
    <row r="334" spans="1:13" x14ac:dyDescent="0.25">
      <c r="A334" s="1">
        <v>45922</v>
      </c>
      <c r="B334" t="s">
        <v>34</v>
      </c>
      <c r="C334" s="2">
        <v>10000</v>
      </c>
      <c r="D334" t="s">
        <v>89</v>
      </c>
      <c r="E334" s="16" t="s">
        <v>90</v>
      </c>
      <c r="G334" s="7"/>
      <c r="I334" s="7"/>
      <c r="K334" t="str">
        <f t="shared" si="15"/>
        <v/>
      </c>
      <c r="L334" t="str">
        <f t="shared" si="16"/>
        <v/>
      </c>
      <c r="M334" t="str">
        <f t="shared" si="17"/>
        <v>2025-09</v>
      </c>
    </row>
    <row r="335" spans="1:13" x14ac:dyDescent="0.25">
      <c r="A335" s="1">
        <v>45922</v>
      </c>
      <c r="B335" t="s">
        <v>33</v>
      </c>
      <c r="C335" s="2">
        <v>10400</v>
      </c>
      <c r="D335" t="s">
        <v>89</v>
      </c>
      <c r="E335" s="16" t="s">
        <v>90</v>
      </c>
      <c r="G335" s="7"/>
      <c r="I335" s="7"/>
      <c r="K335" t="str">
        <f t="shared" si="15"/>
        <v/>
      </c>
      <c r="L335" t="str">
        <f t="shared" si="16"/>
        <v/>
      </c>
      <c r="M335" t="str">
        <f t="shared" si="17"/>
        <v>2025-09</v>
      </c>
    </row>
    <row r="336" spans="1:13" x14ac:dyDescent="0.25">
      <c r="A336" s="1">
        <v>45922</v>
      </c>
      <c r="B336" t="s">
        <v>29</v>
      </c>
      <c r="C336" s="2">
        <v>900</v>
      </c>
      <c r="D336" t="s">
        <v>89</v>
      </c>
      <c r="E336" s="16" t="s">
        <v>90</v>
      </c>
      <c r="G336" s="7"/>
      <c r="I336" s="7"/>
      <c r="K336" t="str">
        <f t="shared" si="15"/>
        <v/>
      </c>
      <c r="L336" t="str">
        <f t="shared" si="16"/>
        <v/>
      </c>
      <c r="M336" t="str">
        <f t="shared" si="17"/>
        <v>2025-09</v>
      </c>
    </row>
    <row r="337" spans="1:13" x14ac:dyDescent="0.25">
      <c r="A337" s="1">
        <v>45922</v>
      </c>
      <c r="B337" t="s">
        <v>105</v>
      </c>
      <c r="C337" s="2">
        <v>7000</v>
      </c>
      <c r="D337" t="s">
        <v>89</v>
      </c>
      <c r="E337" s="16" t="s">
        <v>90</v>
      </c>
      <c r="G337" s="7"/>
      <c r="I337" s="7"/>
      <c r="K337" t="str">
        <f t="shared" si="15"/>
        <v/>
      </c>
      <c r="L337" t="str">
        <f t="shared" si="16"/>
        <v/>
      </c>
      <c r="M337" t="str">
        <f t="shared" si="17"/>
        <v>2025-09</v>
      </c>
    </row>
    <row r="338" spans="1:13" x14ac:dyDescent="0.25">
      <c r="A338" s="1">
        <v>45923</v>
      </c>
      <c r="B338" t="s">
        <v>92</v>
      </c>
      <c r="C338" s="2">
        <v>1350</v>
      </c>
      <c r="D338" t="s">
        <v>89</v>
      </c>
      <c r="E338" s="16" t="s">
        <v>90</v>
      </c>
      <c r="G338" s="7"/>
      <c r="I338" s="7"/>
      <c r="K338" t="str">
        <f t="shared" si="15"/>
        <v/>
      </c>
      <c r="L338" t="str">
        <f t="shared" si="16"/>
        <v/>
      </c>
      <c r="M338" t="str">
        <f t="shared" si="17"/>
        <v>2025-09</v>
      </c>
    </row>
    <row r="339" spans="1:13" x14ac:dyDescent="0.25">
      <c r="A339" s="1">
        <v>45923</v>
      </c>
      <c r="B339" t="s">
        <v>92</v>
      </c>
      <c r="C339" s="2">
        <v>1350</v>
      </c>
      <c r="D339" t="s">
        <v>89</v>
      </c>
      <c r="E339" s="16" t="s">
        <v>90</v>
      </c>
      <c r="G339" s="7"/>
      <c r="I339" s="7"/>
      <c r="K339" t="str">
        <f t="shared" si="15"/>
        <v/>
      </c>
      <c r="L339" t="str">
        <f t="shared" si="16"/>
        <v/>
      </c>
      <c r="M339" t="str">
        <f t="shared" si="17"/>
        <v>2025-09</v>
      </c>
    </row>
    <row r="340" spans="1:13" x14ac:dyDescent="0.25">
      <c r="A340" s="1">
        <v>45924</v>
      </c>
      <c r="B340" t="s">
        <v>92</v>
      </c>
      <c r="C340" s="2">
        <v>4400</v>
      </c>
      <c r="D340" t="s">
        <v>89</v>
      </c>
      <c r="E340" s="16" t="s">
        <v>90</v>
      </c>
      <c r="G340" s="7"/>
      <c r="I340" s="7"/>
      <c r="K340" t="str">
        <f t="shared" si="15"/>
        <v/>
      </c>
      <c r="L340" t="str">
        <f t="shared" si="16"/>
        <v/>
      </c>
      <c r="M340" t="str">
        <f t="shared" si="17"/>
        <v>2025-09</v>
      </c>
    </row>
    <row r="341" spans="1:13" x14ac:dyDescent="0.25">
      <c r="A341" s="1">
        <v>45924</v>
      </c>
      <c r="B341" t="s">
        <v>27</v>
      </c>
      <c r="C341" s="2">
        <v>1050</v>
      </c>
      <c r="D341" t="s">
        <v>89</v>
      </c>
      <c r="E341" s="16" t="s">
        <v>90</v>
      </c>
      <c r="G341" s="7"/>
      <c r="I341" s="7"/>
      <c r="K341" t="str">
        <f t="shared" si="15"/>
        <v/>
      </c>
      <c r="L341" t="str">
        <f t="shared" si="16"/>
        <v/>
      </c>
      <c r="M341" t="str">
        <f t="shared" si="17"/>
        <v>2025-09</v>
      </c>
    </row>
    <row r="342" spans="1:13" x14ac:dyDescent="0.25">
      <c r="A342" s="1">
        <v>45924</v>
      </c>
      <c r="B342" t="s">
        <v>91</v>
      </c>
      <c r="C342" s="2">
        <v>9300</v>
      </c>
      <c r="D342" t="s">
        <v>89</v>
      </c>
      <c r="E342" s="16" t="s">
        <v>90</v>
      </c>
      <c r="G342" s="7"/>
      <c r="I342" s="7"/>
      <c r="K342" t="str">
        <f t="shared" si="15"/>
        <v/>
      </c>
      <c r="L342" t="str">
        <f t="shared" si="16"/>
        <v/>
      </c>
      <c r="M342" t="str">
        <f t="shared" si="17"/>
        <v>2025-09</v>
      </c>
    </row>
    <row r="343" spans="1:13" x14ac:dyDescent="0.25">
      <c r="A343" s="1">
        <v>45924</v>
      </c>
      <c r="B343" t="s">
        <v>92</v>
      </c>
      <c r="C343" s="2">
        <v>1300</v>
      </c>
      <c r="D343" t="s">
        <v>89</v>
      </c>
      <c r="E343" s="16" t="s">
        <v>90</v>
      </c>
      <c r="G343" s="7"/>
      <c r="I343" s="7"/>
      <c r="K343" t="str">
        <f t="shared" si="15"/>
        <v/>
      </c>
      <c r="L343" t="str">
        <f t="shared" si="16"/>
        <v/>
      </c>
      <c r="M343" t="str">
        <f t="shared" si="17"/>
        <v>2025-09</v>
      </c>
    </row>
    <row r="344" spans="1:13" x14ac:dyDescent="0.25">
      <c r="A344" s="1">
        <v>45924</v>
      </c>
      <c r="B344" t="s">
        <v>92</v>
      </c>
      <c r="C344" s="2">
        <v>4050</v>
      </c>
      <c r="D344" t="s">
        <v>89</v>
      </c>
      <c r="E344" s="16" t="s">
        <v>90</v>
      </c>
      <c r="G344" s="7"/>
      <c r="I344" s="7"/>
      <c r="K344" t="str">
        <f t="shared" si="15"/>
        <v/>
      </c>
      <c r="L344" t="str">
        <f t="shared" si="16"/>
        <v/>
      </c>
      <c r="M344" t="str">
        <f t="shared" si="17"/>
        <v>2025-09</v>
      </c>
    </row>
    <row r="345" spans="1:13" x14ac:dyDescent="0.25">
      <c r="A345" s="1">
        <v>45924</v>
      </c>
      <c r="B345" t="s">
        <v>92</v>
      </c>
      <c r="C345" s="2">
        <v>1350</v>
      </c>
      <c r="D345" t="s">
        <v>89</v>
      </c>
      <c r="E345" s="16" t="s">
        <v>90</v>
      </c>
      <c r="G345" s="7"/>
      <c r="I345" s="7"/>
      <c r="K345" t="str">
        <f t="shared" si="15"/>
        <v/>
      </c>
      <c r="L345" t="str">
        <f t="shared" si="16"/>
        <v/>
      </c>
      <c r="M345" t="str">
        <f t="shared" si="17"/>
        <v>2025-09</v>
      </c>
    </row>
    <row r="346" spans="1:13" x14ac:dyDescent="0.25">
      <c r="A346" s="1">
        <v>45924</v>
      </c>
      <c r="B346" t="s">
        <v>29</v>
      </c>
      <c r="C346" s="2">
        <v>900</v>
      </c>
      <c r="D346" t="s">
        <v>89</v>
      </c>
      <c r="E346" s="16" t="s">
        <v>90</v>
      </c>
      <c r="G346" s="7"/>
      <c r="I346" s="7"/>
      <c r="K346" t="str">
        <f t="shared" si="15"/>
        <v/>
      </c>
      <c r="L346" t="str">
        <f t="shared" si="16"/>
        <v/>
      </c>
      <c r="M346" t="str">
        <f t="shared" si="17"/>
        <v>2025-09</v>
      </c>
    </row>
    <row r="347" spans="1:13" x14ac:dyDescent="0.25">
      <c r="A347" s="1">
        <v>45925</v>
      </c>
      <c r="B347" t="s">
        <v>33</v>
      </c>
      <c r="C347" s="2">
        <v>10400</v>
      </c>
      <c r="D347" t="s">
        <v>89</v>
      </c>
      <c r="E347" s="16" t="s">
        <v>90</v>
      </c>
      <c r="G347" s="7"/>
      <c r="I347" s="7"/>
      <c r="K347" t="str">
        <f t="shared" si="15"/>
        <v/>
      </c>
      <c r="L347" t="str">
        <f t="shared" si="16"/>
        <v/>
      </c>
      <c r="M347" t="str">
        <f t="shared" si="17"/>
        <v>2025-09</v>
      </c>
    </row>
    <row r="348" spans="1:13" x14ac:dyDescent="0.25">
      <c r="A348" s="1">
        <v>45925</v>
      </c>
      <c r="B348" t="s">
        <v>92</v>
      </c>
      <c r="C348" s="2">
        <v>1350</v>
      </c>
      <c r="D348" t="s">
        <v>89</v>
      </c>
      <c r="E348" s="16" t="s">
        <v>90</v>
      </c>
      <c r="G348" s="7"/>
      <c r="I348" s="7"/>
      <c r="K348" t="str">
        <f t="shared" si="15"/>
        <v/>
      </c>
      <c r="L348" t="str">
        <f t="shared" si="16"/>
        <v/>
      </c>
      <c r="M348" t="str">
        <f t="shared" si="17"/>
        <v>2025-09</v>
      </c>
    </row>
    <row r="349" spans="1:13" x14ac:dyDescent="0.25">
      <c r="A349" s="1">
        <v>45925</v>
      </c>
      <c r="B349" t="s">
        <v>92</v>
      </c>
      <c r="C349" s="2">
        <v>1350</v>
      </c>
      <c r="D349" t="s">
        <v>89</v>
      </c>
      <c r="E349" s="16" t="s">
        <v>90</v>
      </c>
      <c r="G349" s="7"/>
      <c r="I349" s="7"/>
      <c r="K349" t="str">
        <f t="shared" si="15"/>
        <v/>
      </c>
      <c r="L349" t="str">
        <f t="shared" si="16"/>
        <v/>
      </c>
      <c r="M349" t="str">
        <f t="shared" si="17"/>
        <v>2025-09</v>
      </c>
    </row>
    <row r="350" spans="1:13" x14ac:dyDescent="0.25">
      <c r="A350" s="1">
        <v>45925</v>
      </c>
      <c r="B350" t="s">
        <v>92</v>
      </c>
      <c r="C350" s="2">
        <v>8100</v>
      </c>
      <c r="D350" t="s">
        <v>89</v>
      </c>
      <c r="E350" s="16" t="s">
        <v>90</v>
      </c>
      <c r="G350" s="7"/>
      <c r="I350" s="7"/>
      <c r="K350" t="str">
        <f t="shared" si="15"/>
        <v/>
      </c>
      <c r="L350" t="str">
        <f t="shared" si="16"/>
        <v/>
      </c>
      <c r="M350" t="str">
        <f t="shared" si="17"/>
        <v>2025-09</v>
      </c>
    </row>
    <row r="351" spans="1:13" x14ac:dyDescent="0.25">
      <c r="A351" s="1">
        <v>45925</v>
      </c>
      <c r="B351" t="s">
        <v>92</v>
      </c>
      <c r="C351" s="2">
        <v>1400</v>
      </c>
      <c r="D351" t="s">
        <v>89</v>
      </c>
      <c r="E351" s="16" t="s">
        <v>90</v>
      </c>
      <c r="G351" s="7"/>
      <c r="I351" s="7"/>
      <c r="K351" t="str">
        <f t="shared" si="15"/>
        <v/>
      </c>
      <c r="L351" t="str">
        <f t="shared" si="16"/>
        <v/>
      </c>
      <c r="M351" t="str">
        <f t="shared" si="17"/>
        <v>2025-09</v>
      </c>
    </row>
    <row r="352" spans="1:13" x14ac:dyDescent="0.25">
      <c r="A352" s="1">
        <v>45925</v>
      </c>
      <c r="B352" t="s">
        <v>32</v>
      </c>
      <c r="C352" s="2">
        <v>11100</v>
      </c>
      <c r="D352" t="s">
        <v>89</v>
      </c>
      <c r="E352" s="16" t="s">
        <v>90</v>
      </c>
      <c r="G352" s="7"/>
      <c r="I352" s="7"/>
      <c r="K352" t="str">
        <f t="shared" si="15"/>
        <v/>
      </c>
      <c r="L352" t="str">
        <f t="shared" si="16"/>
        <v/>
      </c>
      <c r="M352" t="str">
        <f t="shared" si="17"/>
        <v>2025-09</v>
      </c>
    </row>
    <row r="353" spans="1:13" x14ac:dyDescent="0.25">
      <c r="A353" s="1">
        <v>45925</v>
      </c>
      <c r="B353" t="s">
        <v>22</v>
      </c>
      <c r="C353" s="2">
        <v>1000</v>
      </c>
      <c r="D353" t="s">
        <v>89</v>
      </c>
      <c r="E353" s="16" t="s">
        <v>90</v>
      </c>
      <c r="G353" s="7"/>
      <c r="I353" s="7"/>
      <c r="K353" t="str">
        <f t="shared" si="15"/>
        <v/>
      </c>
      <c r="L353" t="str">
        <f t="shared" si="16"/>
        <v/>
      </c>
      <c r="M353" t="str">
        <f t="shared" si="17"/>
        <v>2025-09</v>
      </c>
    </row>
    <row r="354" spans="1:13" x14ac:dyDescent="0.25">
      <c r="A354" s="1">
        <v>45925</v>
      </c>
      <c r="B354" t="s">
        <v>35</v>
      </c>
      <c r="C354" s="2">
        <v>10000</v>
      </c>
      <c r="D354" t="s">
        <v>89</v>
      </c>
      <c r="E354" s="16" t="s">
        <v>90</v>
      </c>
      <c r="G354" s="7"/>
      <c r="I354" s="7"/>
      <c r="K354" t="str">
        <f t="shared" si="15"/>
        <v/>
      </c>
      <c r="L354" t="str">
        <f t="shared" si="16"/>
        <v/>
      </c>
      <c r="M354" t="str">
        <f t="shared" si="17"/>
        <v>2025-09</v>
      </c>
    </row>
    <row r="355" spans="1:13" x14ac:dyDescent="0.25">
      <c r="A355" s="1">
        <v>45926</v>
      </c>
      <c r="B355" t="s">
        <v>33</v>
      </c>
      <c r="C355" s="2">
        <v>10400</v>
      </c>
      <c r="D355" t="s">
        <v>89</v>
      </c>
      <c r="E355" s="16" t="s">
        <v>90</v>
      </c>
      <c r="G355" s="7"/>
      <c r="I355" s="7"/>
      <c r="K355" t="str">
        <f t="shared" si="15"/>
        <v/>
      </c>
      <c r="L355" t="str">
        <f t="shared" si="16"/>
        <v/>
      </c>
      <c r="M355" t="str">
        <f t="shared" si="17"/>
        <v>2025-09</v>
      </c>
    </row>
    <row r="356" spans="1:13" x14ac:dyDescent="0.25">
      <c r="A356" s="1">
        <v>45926</v>
      </c>
      <c r="B356" t="s">
        <v>29</v>
      </c>
      <c r="C356" s="2">
        <v>900</v>
      </c>
      <c r="D356" t="s">
        <v>89</v>
      </c>
      <c r="E356" s="16" t="s">
        <v>90</v>
      </c>
      <c r="G356" s="7"/>
      <c r="I356" s="7"/>
      <c r="K356" t="str">
        <f t="shared" si="15"/>
        <v/>
      </c>
      <c r="L356" t="str">
        <f t="shared" si="16"/>
        <v/>
      </c>
      <c r="M356" t="str">
        <f t="shared" si="17"/>
        <v>2025-09</v>
      </c>
    </row>
    <row r="357" spans="1:13" x14ac:dyDescent="0.25">
      <c r="A357" s="1">
        <v>45926</v>
      </c>
      <c r="B357" t="s">
        <v>22</v>
      </c>
      <c r="C357" s="2">
        <v>2000</v>
      </c>
      <c r="D357" t="s">
        <v>89</v>
      </c>
      <c r="E357" s="16" t="s">
        <v>90</v>
      </c>
      <c r="G357" s="7"/>
      <c r="I357" s="7"/>
      <c r="K357" t="str">
        <f t="shared" si="15"/>
        <v/>
      </c>
      <c r="L357" t="str">
        <f t="shared" si="16"/>
        <v/>
      </c>
      <c r="M357" t="str">
        <f t="shared" si="17"/>
        <v>2025-09</v>
      </c>
    </row>
    <row r="358" spans="1:13" x14ac:dyDescent="0.25">
      <c r="A358" s="1">
        <v>45929</v>
      </c>
      <c r="B358" t="s">
        <v>33</v>
      </c>
      <c r="C358" s="2">
        <v>10400</v>
      </c>
      <c r="D358" t="s">
        <v>89</v>
      </c>
      <c r="E358" s="16" t="s">
        <v>90</v>
      </c>
      <c r="G358" s="7"/>
      <c r="I358" s="7"/>
      <c r="K358" t="str">
        <f t="shared" si="15"/>
        <v/>
      </c>
      <c r="L358" t="str">
        <f t="shared" si="16"/>
        <v/>
      </c>
      <c r="M358" t="str">
        <f t="shared" si="17"/>
        <v>2025-09</v>
      </c>
    </row>
    <row r="359" spans="1:13" x14ac:dyDescent="0.25">
      <c r="A359" s="1">
        <v>45929</v>
      </c>
      <c r="B359" t="s">
        <v>17</v>
      </c>
      <c r="C359" s="2">
        <v>500</v>
      </c>
      <c r="D359" t="s">
        <v>89</v>
      </c>
      <c r="E359" s="16" t="s">
        <v>90</v>
      </c>
      <c r="G359" s="7"/>
      <c r="I359" s="7"/>
      <c r="K359" t="str">
        <f t="shared" si="15"/>
        <v/>
      </c>
      <c r="L359" t="str">
        <f t="shared" si="16"/>
        <v/>
      </c>
      <c r="M359" t="str">
        <f t="shared" si="17"/>
        <v>2025-09</v>
      </c>
    </row>
    <row r="360" spans="1:13" x14ac:dyDescent="0.25">
      <c r="A360" s="1">
        <v>45929</v>
      </c>
      <c r="B360" t="s">
        <v>104</v>
      </c>
      <c r="C360" s="2">
        <v>1100</v>
      </c>
      <c r="D360" t="s">
        <v>89</v>
      </c>
      <c r="E360" s="16" t="s">
        <v>90</v>
      </c>
      <c r="G360" s="7"/>
      <c r="I360" s="7"/>
      <c r="K360" t="str">
        <f t="shared" si="15"/>
        <v/>
      </c>
      <c r="L360" t="str">
        <f t="shared" si="16"/>
        <v/>
      </c>
      <c r="M360" t="str">
        <f t="shared" si="17"/>
        <v>2025-09</v>
      </c>
    </row>
    <row r="361" spans="1:13" x14ac:dyDescent="0.25">
      <c r="A361" s="1">
        <v>45930</v>
      </c>
      <c r="B361" t="s">
        <v>34</v>
      </c>
      <c r="C361" s="2">
        <v>16170</v>
      </c>
      <c r="D361" t="s">
        <v>89</v>
      </c>
      <c r="E361" s="16" t="s">
        <v>90</v>
      </c>
      <c r="G361" s="7"/>
      <c r="I361" s="7"/>
      <c r="K361" t="str">
        <f t="shared" si="15"/>
        <v/>
      </c>
      <c r="L361" t="str">
        <f t="shared" si="16"/>
        <v/>
      </c>
      <c r="M361" t="str">
        <f t="shared" si="17"/>
        <v>2025-09</v>
      </c>
    </row>
    <row r="362" spans="1:13" x14ac:dyDescent="0.25">
      <c r="A362" s="1">
        <v>45930</v>
      </c>
      <c r="B362" t="s">
        <v>92</v>
      </c>
      <c r="C362" s="2">
        <v>7500</v>
      </c>
      <c r="D362" t="s">
        <v>89</v>
      </c>
      <c r="E362" s="16" t="s">
        <v>90</v>
      </c>
      <c r="G362" s="7"/>
      <c r="I362" s="7"/>
      <c r="K362" t="str">
        <f t="shared" si="15"/>
        <v/>
      </c>
      <c r="L362" t="str">
        <f t="shared" si="16"/>
        <v/>
      </c>
      <c r="M362" t="str">
        <f t="shared" si="17"/>
        <v>2025-09</v>
      </c>
    </row>
    <row r="363" spans="1:13" x14ac:dyDescent="0.25">
      <c r="A363" s="1">
        <v>45931</v>
      </c>
      <c r="B363" t="s">
        <v>106</v>
      </c>
      <c r="C363" s="2">
        <v>2500</v>
      </c>
      <c r="D363" t="s">
        <v>89</v>
      </c>
      <c r="E363" s="16" t="s">
        <v>90</v>
      </c>
      <c r="G363" s="7"/>
      <c r="I363" s="7"/>
      <c r="K363" t="str">
        <f t="shared" si="15"/>
        <v/>
      </c>
      <c r="L363" t="str">
        <f t="shared" si="16"/>
        <v/>
      </c>
      <c r="M363" t="str">
        <f t="shared" si="17"/>
        <v>2025-10</v>
      </c>
    </row>
    <row r="364" spans="1:13" x14ac:dyDescent="0.25">
      <c r="A364" s="1">
        <v>45931</v>
      </c>
      <c r="B364" t="s">
        <v>27</v>
      </c>
      <c r="C364" s="2">
        <v>1050</v>
      </c>
      <c r="D364" t="s">
        <v>89</v>
      </c>
      <c r="E364" s="16" t="s">
        <v>90</v>
      </c>
      <c r="G364" s="7"/>
      <c r="I364" s="7"/>
      <c r="K364" t="str">
        <f t="shared" si="15"/>
        <v/>
      </c>
      <c r="L364" t="str">
        <f t="shared" si="16"/>
        <v/>
      </c>
      <c r="M364" t="str">
        <f t="shared" si="17"/>
        <v>2025-10</v>
      </c>
    </row>
    <row r="365" spans="1:13" x14ac:dyDescent="0.25">
      <c r="A365" s="1">
        <v>45931</v>
      </c>
      <c r="B365" t="s">
        <v>96</v>
      </c>
      <c r="C365" s="2">
        <v>1000</v>
      </c>
      <c r="D365" t="s">
        <v>89</v>
      </c>
      <c r="E365" s="16" t="s">
        <v>90</v>
      </c>
      <c r="G365" s="7"/>
      <c r="I365" s="7"/>
      <c r="K365" t="str">
        <f t="shared" si="15"/>
        <v/>
      </c>
      <c r="L365" t="str">
        <f t="shared" si="16"/>
        <v/>
      </c>
      <c r="M365" t="str">
        <f t="shared" si="17"/>
        <v>2025-10</v>
      </c>
    </row>
    <row r="366" spans="1:13" x14ac:dyDescent="0.25">
      <c r="A366" s="1">
        <v>45931</v>
      </c>
      <c r="B366" t="s">
        <v>92</v>
      </c>
      <c r="C366" s="2">
        <v>1350</v>
      </c>
      <c r="D366" t="s">
        <v>89</v>
      </c>
      <c r="E366" s="16" t="s">
        <v>90</v>
      </c>
      <c r="G366" s="7"/>
      <c r="I366" s="7"/>
      <c r="K366" t="str">
        <f t="shared" si="15"/>
        <v/>
      </c>
      <c r="L366" t="str">
        <f t="shared" si="16"/>
        <v/>
      </c>
      <c r="M366" t="str">
        <f t="shared" si="17"/>
        <v>2025-10</v>
      </c>
    </row>
    <row r="367" spans="1:13" x14ac:dyDescent="0.25">
      <c r="A367" s="1">
        <v>45931</v>
      </c>
      <c r="B367" t="s">
        <v>92</v>
      </c>
      <c r="C367" s="2">
        <v>5600</v>
      </c>
      <c r="D367" t="s">
        <v>89</v>
      </c>
      <c r="E367" s="16" t="s">
        <v>90</v>
      </c>
      <c r="G367" s="7"/>
      <c r="I367" s="7"/>
      <c r="K367" t="str">
        <f t="shared" si="15"/>
        <v/>
      </c>
      <c r="L367" t="str">
        <f t="shared" si="16"/>
        <v/>
      </c>
      <c r="M367" t="str">
        <f t="shared" si="17"/>
        <v>2025-10</v>
      </c>
    </row>
    <row r="368" spans="1:13" x14ac:dyDescent="0.25">
      <c r="A368" s="1">
        <v>45931</v>
      </c>
      <c r="B368" t="s">
        <v>92</v>
      </c>
      <c r="C368" s="2">
        <v>2700</v>
      </c>
      <c r="D368" t="s">
        <v>89</v>
      </c>
      <c r="E368" s="16" t="s">
        <v>90</v>
      </c>
      <c r="G368" s="7"/>
      <c r="I368" s="7"/>
      <c r="K368" t="str">
        <f t="shared" si="15"/>
        <v/>
      </c>
      <c r="L368" t="str">
        <f t="shared" si="16"/>
        <v/>
      </c>
      <c r="M368" t="str">
        <f t="shared" si="17"/>
        <v>2025-10</v>
      </c>
    </row>
    <row r="369" spans="1:13" x14ac:dyDescent="0.25">
      <c r="A369" s="1">
        <v>45931</v>
      </c>
      <c r="B369" t="s">
        <v>92</v>
      </c>
      <c r="C369" s="2">
        <v>5400</v>
      </c>
      <c r="D369" t="s">
        <v>89</v>
      </c>
      <c r="E369" s="16" t="s">
        <v>90</v>
      </c>
      <c r="G369" s="7"/>
      <c r="I369" s="7"/>
      <c r="K369" t="str">
        <f t="shared" si="15"/>
        <v/>
      </c>
      <c r="L369" t="str">
        <f t="shared" si="16"/>
        <v/>
      </c>
      <c r="M369" t="str">
        <f t="shared" si="17"/>
        <v>2025-10</v>
      </c>
    </row>
    <row r="370" spans="1:13" x14ac:dyDescent="0.25">
      <c r="A370" s="1">
        <v>45931</v>
      </c>
      <c r="B370" t="s">
        <v>34</v>
      </c>
      <c r="C370" s="2">
        <v>16170</v>
      </c>
      <c r="D370" t="s">
        <v>89</v>
      </c>
      <c r="E370" s="16" t="s">
        <v>90</v>
      </c>
      <c r="G370" s="7"/>
      <c r="I370" s="7"/>
      <c r="K370" t="str">
        <f t="shared" si="15"/>
        <v/>
      </c>
      <c r="L370" t="str">
        <f t="shared" si="16"/>
        <v/>
      </c>
      <c r="M370" t="str">
        <f t="shared" si="17"/>
        <v>2025-10</v>
      </c>
    </row>
    <row r="371" spans="1:13" x14ac:dyDescent="0.25">
      <c r="A371" s="1">
        <v>45931</v>
      </c>
      <c r="B371" t="s">
        <v>29</v>
      </c>
      <c r="C371" s="2">
        <v>900</v>
      </c>
      <c r="D371" t="s">
        <v>89</v>
      </c>
      <c r="E371" s="16" t="s">
        <v>90</v>
      </c>
      <c r="G371" s="7"/>
      <c r="I371" s="7"/>
      <c r="K371" t="str">
        <f t="shared" si="15"/>
        <v/>
      </c>
      <c r="L371" t="str">
        <f t="shared" si="16"/>
        <v/>
      </c>
      <c r="M371" t="str">
        <f t="shared" si="17"/>
        <v>2025-10</v>
      </c>
    </row>
    <row r="372" spans="1:13" x14ac:dyDescent="0.25">
      <c r="A372" s="1">
        <v>45932</v>
      </c>
      <c r="B372" t="s">
        <v>94</v>
      </c>
      <c r="C372" s="2">
        <v>1000</v>
      </c>
      <c r="D372" t="s">
        <v>89</v>
      </c>
      <c r="E372" s="16" t="s">
        <v>90</v>
      </c>
      <c r="G372" s="7"/>
      <c r="I372" s="7"/>
      <c r="K372" t="str">
        <f t="shared" si="15"/>
        <v/>
      </c>
      <c r="L372" t="str">
        <f t="shared" si="16"/>
        <v/>
      </c>
      <c r="M372" t="str">
        <f t="shared" si="17"/>
        <v>2025-10</v>
      </c>
    </row>
    <row r="373" spans="1:13" x14ac:dyDescent="0.25">
      <c r="A373" s="1">
        <v>45932</v>
      </c>
      <c r="B373" t="s">
        <v>92</v>
      </c>
      <c r="C373" s="2">
        <v>2700</v>
      </c>
      <c r="D373" t="s">
        <v>89</v>
      </c>
      <c r="E373" s="16" t="s">
        <v>90</v>
      </c>
      <c r="G373" s="7"/>
      <c r="I373" s="7"/>
      <c r="K373" t="str">
        <f t="shared" si="15"/>
        <v/>
      </c>
      <c r="L373" t="str">
        <f t="shared" si="16"/>
        <v/>
      </c>
      <c r="M373" t="str">
        <f t="shared" si="17"/>
        <v>2025-10</v>
      </c>
    </row>
    <row r="374" spans="1:13" x14ac:dyDescent="0.25">
      <c r="A374" s="1">
        <v>45932</v>
      </c>
      <c r="B374" t="s">
        <v>92</v>
      </c>
      <c r="C374" s="2">
        <v>5400</v>
      </c>
      <c r="D374" t="s">
        <v>89</v>
      </c>
      <c r="E374" s="16" t="s">
        <v>90</v>
      </c>
      <c r="G374" s="7"/>
      <c r="I374" s="7"/>
      <c r="K374" t="str">
        <f t="shared" si="15"/>
        <v/>
      </c>
      <c r="L374" t="str">
        <f t="shared" si="16"/>
        <v/>
      </c>
      <c r="M374" t="str">
        <f t="shared" si="17"/>
        <v>2025-10</v>
      </c>
    </row>
    <row r="375" spans="1:13" x14ac:dyDescent="0.25">
      <c r="A375" s="1">
        <v>45932</v>
      </c>
      <c r="B375" t="s">
        <v>92</v>
      </c>
      <c r="C375" s="2">
        <v>5400</v>
      </c>
      <c r="D375" t="s">
        <v>89</v>
      </c>
      <c r="E375" s="16" t="s">
        <v>90</v>
      </c>
      <c r="G375" s="7"/>
      <c r="I375" s="7"/>
      <c r="K375" t="str">
        <f t="shared" si="15"/>
        <v/>
      </c>
      <c r="L375" t="str">
        <f t="shared" si="16"/>
        <v/>
      </c>
      <c r="M375" t="str">
        <f t="shared" si="17"/>
        <v>2025-10</v>
      </c>
    </row>
    <row r="376" spans="1:13" x14ac:dyDescent="0.25">
      <c r="A376" s="1">
        <v>45932</v>
      </c>
      <c r="B376" t="s">
        <v>92</v>
      </c>
      <c r="C376" s="2">
        <v>2700</v>
      </c>
      <c r="D376" t="s">
        <v>89</v>
      </c>
      <c r="E376" s="16" t="s">
        <v>90</v>
      </c>
      <c r="G376" s="7"/>
      <c r="I376" s="7"/>
      <c r="K376" t="str">
        <f t="shared" si="15"/>
        <v/>
      </c>
      <c r="L376" t="str">
        <f t="shared" si="16"/>
        <v/>
      </c>
      <c r="M376" t="str">
        <f t="shared" si="17"/>
        <v>2025-10</v>
      </c>
    </row>
    <row r="377" spans="1:13" x14ac:dyDescent="0.25">
      <c r="A377" s="1">
        <v>45932</v>
      </c>
      <c r="B377" t="s">
        <v>27</v>
      </c>
      <c r="C377" s="2">
        <v>2100</v>
      </c>
      <c r="D377" t="s">
        <v>89</v>
      </c>
      <c r="E377" s="16" t="s">
        <v>90</v>
      </c>
      <c r="G377" s="7"/>
      <c r="I377" s="7"/>
      <c r="K377" t="str">
        <f t="shared" si="15"/>
        <v/>
      </c>
      <c r="L377" t="str">
        <f t="shared" si="16"/>
        <v/>
      </c>
      <c r="M377" t="str">
        <f t="shared" si="17"/>
        <v>2025-10</v>
      </c>
    </row>
    <row r="378" spans="1:13" x14ac:dyDescent="0.25">
      <c r="A378" s="1">
        <v>45932</v>
      </c>
      <c r="B378" t="s">
        <v>100</v>
      </c>
      <c r="C378" s="2">
        <v>1000</v>
      </c>
      <c r="D378" t="s">
        <v>89</v>
      </c>
      <c r="E378" s="16" t="s">
        <v>90</v>
      </c>
      <c r="G378" s="7"/>
      <c r="I378" s="7"/>
      <c r="K378" t="str">
        <f t="shared" si="15"/>
        <v/>
      </c>
      <c r="L378" t="str">
        <f t="shared" si="16"/>
        <v/>
      </c>
      <c r="M378" t="str">
        <f t="shared" si="17"/>
        <v>2025-10</v>
      </c>
    </row>
    <row r="379" spans="1:13" x14ac:dyDescent="0.25">
      <c r="A379" s="1">
        <v>45932</v>
      </c>
      <c r="B379" t="s">
        <v>92</v>
      </c>
      <c r="C379" s="2">
        <v>7500</v>
      </c>
      <c r="D379" t="s">
        <v>89</v>
      </c>
      <c r="E379" s="16" t="s">
        <v>90</v>
      </c>
      <c r="G379" s="7"/>
      <c r="I379" s="7"/>
      <c r="K379" t="str">
        <f t="shared" si="15"/>
        <v/>
      </c>
      <c r="L379" t="str">
        <f t="shared" si="16"/>
        <v/>
      </c>
      <c r="M379" t="str">
        <f t="shared" si="17"/>
        <v>2025-10</v>
      </c>
    </row>
    <row r="380" spans="1:13" x14ac:dyDescent="0.25">
      <c r="A380" s="1">
        <v>45936</v>
      </c>
      <c r="B380" t="s">
        <v>96</v>
      </c>
      <c r="C380" s="2">
        <v>1250</v>
      </c>
      <c r="D380" t="s">
        <v>89</v>
      </c>
      <c r="E380" s="16" t="s">
        <v>90</v>
      </c>
      <c r="G380" s="7"/>
      <c r="I380" s="7"/>
      <c r="K380" t="str">
        <f t="shared" si="15"/>
        <v/>
      </c>
      <c r="L380" t="str">
        <f t="shared" si="16"/>
        <v/>
      </c>
      <c r="M380" t="str">
        <f t="shared" si="17"/>
        <v>2025-10</v>
      </c>
    </row>
    <row r="381" spans="1:13" x14ac:dyDescent="0.25">
      <c r="A381" s="1">
        <v>45936</v>
      </c>
      <c r="B381" t="s">
        <v>27</v>
      </c>
      <c r="C381" s="2">
        <v>2100</v>
      </c>
      <c r="D381" t="s">
        <v>89</v>
      </c>
      <c r="E381" s="16" t="s">
        <v>90</v>
      </c>
      <c r="G381" s="7"/>
      <c r="I381" s="7"/>
      <c r="K381" t="str">
        <f t="shared" si="15"/>
        <v/>
      </c>
      <c r="L381" t="str">
        <f t="shared" si="16"/>
        <v/>
      </c>
      <c r="M381" t="str">
        <f t="shared" si="17"/>
        <v>2025-10</v>
      </c>
    </row>
    <row r="382" spans="1:13" x14ac:dyDescent="0.25">
      <c r="A382" s="1">
        <v>45936</v>
      </c>
      <c r="B382" t="s">
        <v>17</v>
      </c>
      <c r="C382" s="2">
        <v>500</v>
      </c>
      <c r="D382" t="s">
        <v>89</v>
      </c>
      <c r="E382" s="16" t="s">
        <v>90</v>
      </c>
      <c r="G382" s="7"/>
      <c r="I382" s="7"/>
      <c r="K382" t="str">
        <f t="shared" si="15"/>
        <v/>
      </c>
      <c r="L382" t="str">
        <f t="shared" si="16"/>
        <v/>
      </c>
      <c r="M382" t="str">
        <f t="shared" si="17"/>
        <v>2025-10</v>
      </c>
    </row>
    <row r="383" spans="1:13" x14ac:dyDescent="0.25">
      <c r="A383" s="1">
        <v>45936</v>
      </c>
      <c r="B383" t="s">
        <v>92</v>
      </c>
      <c r="C383" s="2">
        <v>4050</v>
      </c>
      <c r="D383" t="s">
        <v>89</v>
      </c>
      <c r="E383" s="16" t="s">
        <v>90</v>
      </c>
      <c r="G383" s="7"/>
      <c r="I383" s="7"/>
      <c r="K383" t="str">
        <f t="shared" si="15"/>
        <v/>
      </c>
      <c r="L383" t="str">
        <f t="shared" si="16"/>
        <v/>
      </c>
      <c r="M383" t="str">
        <f t="shared" si="17"/>
        <v>2025-10</v>
      </c>
    </row>
    <row r="384" spans="1:13" x14ac:dyDescent="0.25">
      <c r="A384" s="1">
        <v>45936</v>
      </c>
      <c r="B384" t="s">
        <v>91</v>
      </c>
      <c r="C384" s="2">
        <v>1500</v>
      </c>
      <c r="D384" t="s">
        <v>89</v>
      </c>
      <c r="E384" s="16" t="s">
        <v>90</v>
      </c>
      <c r="G384" s="7"/>
      <c r="I384" s="7"/>
      <c r="K384" t="str">
        <f t="shared" si="15"/>
        <v/>
      </c>
      <c r="L384" t="str">
        <f t="shared" si="16"/>
        <v/>
      </c>
      <c r="M384" t="str">
        <f t="shared" si="17"/>
        <v>2025-10</v>
      </c>
    </row>
    <row r="385" spans="1:13" x14ac:dyDescent="0.25">
      <c r="A385" s="1">
        <v>45936</v>
      </c>
      <c r="B385" t="s">
        <v>35</v>
      </c>
      <c r="C385" s="2">
        <v>10400</v>
      </c>
      <c r="D385" t="s">
        <v>89</v>
      </c>
      <c r="E385" s="16" t="s">
        <v>90</v>
      </c>
      <c r="G385" s="7"/>
      <c r="I385" s="7"/>
      <c r="K385" t="str">
        <f t="shared" si="15"/>
        <v/>
      </c>
      <c r="L385" t="str">
        <f t="shared" si="16"/>
        <v/>
      </c>
      <c r="M385" t="str">
        <f t="shared" si="17"/>
        <v>2025-10</v>
      </c>
    </row>
    <row r="386" spans="1:13" x14ac:dyDescent="0.25">
      <c r="A386" s="1">
        <v>45937</v>
      </c>
      <c r="B386" t="s">
        <v>91</v>
      </c>
      <c r="C386" s="2">
        <v>12000</v>
      </c>
      <c r="D386" t="s">
        <v>89</v>
      </c>
      <c r="E386" s="16" t="s">
        <v>90</v>
      </c>
      <c r="G386" s="7"/>
      <c r="I386" s="7"/>
      <c r="K386" t="str">
        <f t="shared" ref="K386:K449" si="18">IF(AND(L386&lt;&gt;"",C386&gt;0),L386/C386,"")</f>
        <v/>
      </c>
      <c r="L386" t="str">
        <f t="shared" ref="L386:L449" si="19">IF(AND(D386="FINALIZADO",H386&lt;&gt;""),VALUE(LEFT(H386,FIND("h",H386)-1))*60+VALUE(MID(H386,FIND("h",H386)+2,FIND("min",H386)-FIND("h",H386)-2)),"")</f>
        <v/>
      </c>
      <c r="M386" t="str">
        <f t="shared" ref="M386:M449" si="20">TEXT(YEAR(A386),"0000")&amp;"-"&amp;TEXT(MONTH(A386),"00")</f>
        <v>2025-10</v>
      </c>
    </row>
    <row r="387" spans="1:13" x14ac:dyDescent="0.25">
      <c r="A387" s="1">
        <v>45937</v>
      </c>
      <c r="B387" t="s">
        <v>34</v>
      </c>
      <c r="C387" s="2">
        <v>16170</v>
      </c>
      <c r="D387" t="s">
        <v>89</v>
      </c>
      <c r="E387" s="16" t="s">
        <v>90</v>
      </c>
      <c r="G387" s="7"/>
      <c r="I387" s="7"/>
      <c r="K387" t="str">
        <f t="shared" si="18"/>
        <v/>
      </c>
      <c r="L387" t="str">
        <f t="shared" si="19"/>
        <v/>
      </c>
      <c r="M387" t="str">
        <f t="shared" si="20"/>
        <v>2025-10</v>
      </c>
    </row>
    <row r="388" spans="1:13" x14ac:dyDescent="0.25">
      <c r="A388" s="1">
        <v>45937</v>
      </c>
      <c r="B388" t="s">
        <v>29</v>
      </c>
      <c r="C388" s="2">
        <v>900</v>
      </c>
      <c r="D388" t="s">
        <v>89</v>
      </c>
      <c r="E388" s="16" t="s">
        <v>90</v>
      </c>
      <c r="G388" s="7"/>
      <c r="I388" s="7"/>
      <c r="K388" t="str">
        <f t="shared" si="18"/>
        <v/>
      </c>
      <c r="L388" t="str">
        <f t="shared" si="19"/>
        <v/>
      </c>
      <c r="M388" t="str">
        <f t="shared" si="20"/>
        <v>2025-10</v>
      </c>
    </row>
    <row r="389" spans="1:13" x14ac:dyDescent="0.25">
      <c r="A389" s="1">
        <v>45937</v>
      </c>
      <c r="B389" t="s">
        <v>92</v>
      </c>
      <c r="C389" s="2">
        <v>2700</v>
      </c>
      <c r="D389" t="s">
        <v>89</v>
      </c>
      <c r="E389" s="16" t="s">
        <v>90</v>
      </c>
      <c r="G389" s="7"/>
      <c r="I389" s="7"/>
      <c r="K389" t="str">
        <f t="shared" si="18"/>
        <v/>
      </c>
      <c r="L389" t="str">
        <f t="shared" si="19"/>
        <v/>
      </c>
      <c r="M389" t="str">
        <f t="shared" si="20"/>
        <v>2025-10</v>
      </c>
    </row>
    <row r="390" spans="1:13" x14ac:dyDescent="0.25">
      <c r="A390" s="1">
        <v>45937</v>
      </c>
      <c r="B390" t="s">
        <v>92</v>
      </c>
      <c r="C390" s="2">
        <v>1400</v>
      </c>
      <c r="D390" t="s">
        <v>89</v>
      </c>
      <c r="E390" s="16" t="s">
        <v>90</v>
      </c>
      <c r="G390" s="7"/>
      <c r="I390" s="7"/>
      <c r="K390" t="str">
        <f t="shared" si="18"/>
        <v/>
      </c>
      <c r="L390" t="str">
        <f t="shared" si="19"/>
        <v/>
      </c>
      <c r="M390" t="str">
        <f t="shared" si="20"/>
        <v>2025-10</v>
      </c>
    </row>
    <row r="391" spans="1:13" x14ac:dyDescent="0.25">
      <c r="A391" s="1">
        <v>45937</v>
      </c>
      <c r="B391" t="s">
        <v>102</v>
      </c>
      <c r="C391" s="2">
        <v>1000</v>
      </c>
      <c r="D391" t="s">
        <v>89</v>
      </c>
      <c r="E391" s="16" t="s">
        <v>90</v>
      </c>
      <c r="G391" s="7"/>
      <c r="I391" s="7"/>
      <c r="K391" t="str">
        <f t="shared" si="18"/>
        <v/>
      </c>
      <c r="L391" t="str">
        <f t="shared" si="19"/>
        <v/>
      </c>
      <c r="M391" t="str">
        <f t="shared" si="20"/>
        <v>2025-10</v>
      </c>
    </row>
    <row r="392" spans="1:13" x14ac:dyDescent="0.25">
      <c r="A392" s="1">
        <v>45937</v>
      </c>
      <c r="B392" t="s">
        <v>94</v>
      </c>
      <c r="C392" s="2">
        <v>1000</v>
      </c>
      <c r="D392" t="s">
        <v>89</v>
      </c>
      <c r="E392" s="16" t="s">
        <v>90</v>
      </c>
      <c r="G392" s="7"/>
      <c r="I392" s="7"/>
      <c r="K392" t="str">
        <f t="shared" si="18"/>
        <v/>
      </c>
      <c r="L392" t="str">
        <f t="shared" si="19"/>
        <v/>
      </c>
      <c r="M392" t="str">
        <f t="shared" si="20"/>
        <v>2025-10</v>
      </c>
    </row>
    <row r="393" spans="1:13" x14ac:dyDescent="0.25">
      <c r="A393" s="1">
        <v>45938</v>
      </c>
      <c r="B393" t="s">
        <v>21</v>
      </c>
      <c r="C393" s="2">
        <v>2500</v>
      </c>
      <c r="D393" t="s">
        <v>89</v>
      </c>
      <c r="E393" s="16" t="s">
        <v>90</v>
      </c>
      <c r="G393" s="7"/>
      <c r="I393" s="7"/>
      <c r="K393" t="str">
        <f t="shared" si="18"/>
        <v/>
      </c>
      <c r="L393" t="str">
        <f t="shared" si="19"/>
        <v/>
      </c>
      <c r="M393" t="str">
        <f t="shared" si="20"/>
        <v>2025-10</v>
      </c>
    </row>
    <row r="394" spans="1:13" x14ac:dyDescent="0.25">
      <c r="A394" s="1">
        <v>45938</v>
      </c>
      <c r="B394" t="s">
        <v>33</v>
      </c>
      <c r="C394" s="2">
        <v>10400</v>
      </c>
      <c r="D394" t="s">
        <v>89</v>
      </c>
      <c r="E394" s="16" t="s">
        <v>90</v>
      </c>
      <c r="G394" s="7"/>
      <c r="I394" s="7"/>
      <c r="K394" t="str">
        <f t="shared" si="18"/>
        <v/>
      </c>
      <c r="L394" t="str">
        <f t="shared" si="19"/>
        <v/>
      </c>
      <c r="M394" t="str">
        <f t="shared" si="20"/>
        <v>2025-10</v>
      </c>
    </row>
    <row r="395" spans="1:13" x14ac:dyDescent="0.25">
      <c r="A395" s="1">
        <v>45938</v>
      </c>
      <c r="B395" t="s">
        <v>34</v>
      </c>
      <c r="C395" s="2">
        <v>10000</v>
      </c>
      <c r="D395" t="s">
        <v>89</v>
      </c>
      <c r="E395" s="16" t="s">
        <v>90</v>
      </c>
      <c r="G395" s="7"/>
      <c r="I395" s="7"/>
      <c r="K395" t="str">
        <f t="shared" si="18"/>
        <v/>
      </c>
      <c r="L395" t="str">
        <f t="shared" si="19"/>
        <v/>
      </c>
      <c r="M395" t="str">
        <f t="shared" si="20"/>
        <v>2025-10</v>
      </c>
    </row>
    <row r="396" spans="1:13" x14ac:dyDescent="0.25">
      <c r="A396" s="1">
        <v>45938</v>
      </c>
      <c r="B396" t="s">
        <v>92</v>
      </c>
      <c r="C396" s="2">
        <v>13500</v>
      </c>
      <c r="D396" t="s">
        <v>89</v>
      </c>
      <c r="E396" s="16" t="s">
        <v>90</v>
      </c>
      <c r="G396" s="7"/>
      <c r="I396" s="7"/>
      <c r="K396" t="str">
        <f t="shared" si="18"/>
        <v/>
      </c>
      <c r="L396" t="str">
        <f t="shared" si="19"/>
        <v/>
      </c>
      <c r="M396" t="str">
        <f t="shared" si="20"/>
        <v>2025-10</v>
      </c>
    </row>
    <row r="397" spans="1:13" x14ac:dyDescent="0.25">
      <c r="A397" s="1">
        <v>45938</v>
      </c>
      <c r="B397" t="s">
        <v>92</v>
      </c>
      <c r="C397" s="2">
        <v>2700</v>
      </c>
      <c r="D397" t="s">
        <v>89</v>
      </c>
      <c r="E397" s="16" t="s">
        <v>90</v>
      </c>
      <c r="G397" s="7"/>
      <c r="I397" s="7"/>
      <c r="K397" t="str">
        <f t="shared" si="18"/>
        <v/>
      </c>
      <c r="L397" t="str">
        <f t="shared" si="19"/>
        <v/>
      </c>
      <c r="M397" t="str">
        <f t="shared" si="20"/>
        <v>2025-10</v>
      </c>
    </row>
    <row r="398" spans="1:13" x14ac:dyDescent="0.25">
      <c r="A398" s="1">
        <v>45938</v>
      </c>
      <c r="B398" t="s">
        <v>92</v>
      </c>
      <c r="C398" s="2">
        <v>1350</v>
      </c>
      <c r="D398" t="s">
        <v>89</v>
      </c>
      <c r="E398" s="16" t="s">
        <v>90</v>
      </c>
      <c r="G398" s="7"/>
      <c r="I398" s="7"/>
      <c r="K398" t="str">
        <f t="shared" si="18"/>
        <v/>
      </c>
      <c r="L398" t="str">
        <f t="shared" si="19"/>
        <v/>
      </c>
      <c r="M398" t="str">
        <f t="shared" si="20"/>
        <v>2025-10</v>
      </c>
    </row>
    <row r="399" spans="1:13" x14ac:dyDescent="0.25">
      <c r="A399" s="1">
        <v>45938</v>
      </c>
      <c r="B399" t="s">
        <v>91</v>
      </c>
      <c r="C399" s="2">
        <v>1500</v>
      </c>
      <c r="D399" t="s">
        <v>89</v>
      </c>
      <c r="E399" s="16" t="s">
        <v>90</v>
      </c>
      <c r="G399" s="7"/>
      <c r="I399" s="7"/>
      <c r="K399" t="str">
        <f t="shared" si="18"/>
        <v/>
      </c>
      <c r="L399" t="str">
        <f t="shared" si="19"/>
        <v/>
      </c>
      <c r="M399" t="str">
        <f t="shared" si="20"/>
        <v>2025-10</v>
      </c>
    </row>
    <row r="400" spans="1:13" x14ac:dyDescent="0.25">
      <c r="A400" s="1">
        <v>45938</v>
      </c>
      <c r="B400" t="s">
        <v>91</v>
      </c>
      <c r="C400" s="2">
        <v>3000</v>
      </c>
      <c r="D400" t="s">
        <v>89</v>
      </c>
      <c r="E400" s="16" t="s">
        <v>90</v>
      </c>
      <c r="G400" s="7"/>
      <c r="I400" s="7"/>
      <c r="K400" t="str">
        <f t="shared" si="18"/>
        <v/>
      </c>
      <c r="L400" t="str">
        <f t="shared" si="19"/>
        <v/>
      </c>
      <c r="M400" t="str">
        <f t="shared" si="20"/>
        <v>2025-10</v>
      </c>
    </row>
    <row r="401" spans="1:13" x14ac:dyDescent="0.25">
      <c r="A401" s="1">
        <v>45938</v>
      </c>
      <c r="B401" t="s">
        <v>91</v>
      </c>
      <c r="C401" s="2">
        <v>1550</v>
      </c>
      <c r="D401" t="s">
        <v>89</v>
      </c>
      <c r="E401" s="16" t="s">
        <v>90</v>
      </c>
      <c r="G401" s="7"/>
      <c r="I401" s="7"/>
      <c r="K401" t="str">
        <f t="shared" si="18"/>
        <v/>
      </c>
      <c r="L401" t="str">
        <f t="shared" si="19"/>
        <v/>
      </c>
      <c r="M401" t="str">
        <f t="shared" si="20"/>
        <v>2025-10</v>
      </c>
    </row>
    <row r="402" spans="1:13" x14ac:dyDescent="0.25">
      <c r="A402" s="1">
        <v>45939</v>
      </c>
      <c r="B402" t="s">
        <v>92</v>
      </c>
      <c r="C402" s="2">
        <v>1350</v>
      </c>
      <c r="D402" t="s">
        <v>89</v>
      </c>
      <c r="E402" s="16" t="s">
        <v>90</v>
      </c>
      <c r="G402" s="7"/>
      <c r="I402" s="7"/>
      <c r="K402" t="str">
        <f t="shared" si="18"/>
        <v/>
      </c>
      <c r="L402" t="str">
        <f t="shared" si="19"/>
        <v/>
      </c>
      <c r="M402" t="str">
        <f t="shared" si="20"/>
        <v>2025-10</v>
      </c>
    </row>
    <row r="403" spans="1:13" x14ac:dyDescent="0.25">
      <c r="A403" s="1">
        <v>45939</v>
      </c>
      <c r="B403" t="s">
        <v>19</v>
      </c>
      <c r="C403" s="2">
        <v>5800</v>
      </c>
      <c r="D403" t="s">
        <v>89</v>
      </c>
      <c r="E403" s="16" t="s">
        <v>90</v>
      </c>
      <c r="G403" s="7"/>
      <c r="I403" s="7"/>
      <c r="K403" t="str">
        <f t="shared" si="18"/>
        <v/>
      </c>
      <c r="L403" t="str">
        <f t="shared" si="19"/>
        <v/>
      </c>
      <c r="M403" t="str">
        <f t="shared" si="20"/>
        <v>2025-10</v>
      </c>
    </row>
    <row r="404" spans="1:13" x14ac:dyDescent="0.25">
      <c r="A404" s="1">
        <v>45939</v>
      </c>
      <c r="B404" t="s">
        <v>92</v>
      </c>
      <c r="C404" s="2">
        <v>4050</v>
      </c>
      <c r="D404" t="s">
        <v>89</v>
      </c>
      <c r="E404" s="16" t="s">
        <v>90</v>
      </c>
      <c r="G404" s="7"/>
      <c r="I404" s="7"/>
      <c r="K404" t="str">
        <f t="shared" si="18"/>
        <v/>
      </c>
      <c r="L404" t="str">
        <f t="shared" si="19"/>
        <v/>
      </c>
      <c r="M404" t="str">
        <f t="shared" si="20"/>
        <v>2025-10</v>
      </c>
    </row>
    <row r="405" spans="1:13" x14ac:dyDescent="0.25">
      <c r="A405" s="1">
        <v>45939</v>
      </c>
      <c r="B405" t="s">
        <v>17</v>
      </c>
      <c r="C405" s="2">
        <v>400</v>
      </c>
      <c r="D405" t="s">
        <v>89</v>
      </c>
      <c r="E405" s="16" t="s">
        <v>90</v>
      </c>
      <c r="G405" s="7"/>
      <c r="I405" s="7"/>
      <c r="K405" t="str">
        <f t="shared" si="18"/>
        <v/>
      </c>
      <c r="L405" t="str">
        <f t="shared" si="19"/>
        <v/>
      </c>
      <c r="M405" t="str">
        <f t="shared" si="20"/>
        <v>2025-10</v>
      </c>
    </row>
    <row r="406" spans="1:13" x14ac:dyDescent="0.25">
      <c r="A406" s="1">
        <v>45939</v>
      </c>
      <c r="B406" t="s">
        <v>29</v>
      </c>
      <c r="C406" s="2">
        <v>1800</v>
      </c>
      <c r="D406" t="s">
        <v>89</v>
      </c>
      <c r="E406" s="16" t="s">
        <v>90</v>
      </c>
      <c r="G406" s="7"/>
      <c r="I406" s="7"/>
      <c r="K406" t="str">
        <f t="shared" si="18"/>
        <v/>
      </c>
      <c r="L406" t="str">
        <f t="shared" si="19"/>
        <v/>
      </c>
      <c r="M406" t="str">
        <f t="shared" si="20"/>
        <v>2025-10</v>
      </c>
    </row>
    <row r="407" spans="1:13" x14ac:dyDescent="0.25">
      <c r="A407" s="1">
        <v>45939</v>
      </c>
      <c r="B407" t="s">
        <v>26</v>
      </c>
      <c r="C407" s="2">
        <v>1050</v>
      </c>
      <c r="D407" t="s">
        <v>89</v>
      </c>
      <c r="E407" s="16" t="s">
        <v>90</v>
      </c>
      <c r="G407" s="7"/>
      <c r="I407" s="7"/>
      <c r="K407" t="str">
        <f t="shared" si="18"/>
        <v/>
      </c>
      <c r="L407" t="str">
        <f t="shared" si="19"/>
        <v/>
      </c>
      <c r="M407" t="str">
        <f t="shared" si="20"/>
        <v>2025-10</v>
      </c>
    </row>
    <row r="408" spans="1:13" x14ac:dyDescent="0.25">
      <c r="A408" s="1">
        <v>45940</v>
      </c>
      <c r="B408" t="s">
        <v>34</v>
      </c>
      <c r="C408" s="2">
        <v>9000</v>
      </c>
      <c r="D408" t="s">
        <v>89</v>
      </c>
      <c r="E408" s="16" t="s">
        <v>90</v>
      </c>
      <c r="G408" s="7"/>
      <c r="I408" s="7"/>
      <c r="K408" t="str">
        <f t="shared" si="18"/>
        <v/>
      </c>
      <c r="L408" t="str">
        <f t="shared" si="19"/>
        <v/>
      </c>
      <c r="M408" t="str">
        <f t="shared" si="20"/>
        <v>2025-10</v>
      </c>
    </row>
    <row r="409" spans="1:13" x14ac:dyDescent="0.25">
      <c r="A409" s="1">
        <v>45940</v>
      </c>
      <c r="B409" t="s">
        <v>29</v>
      </c>
      <c r="C409" s="2">
        <v>900</v>
      </c>
      <c r="D409" t="s">
        <v>89</v>
      </c>
      <c r="E409" s="16" t="s">
        <v>90</v>
      </c>
      <c r="G409" s="7"/>
      <c r="I409" s="7"/>
      <c r="K409" t="str">
        <f t="shared" si="18"/>
        <v/>
      </c>
      <c r="L409" t="str">
        <f t="shared" si="19"/>
        <v/>
      </c>
      <c r="M409" t="str">
        <f t="shared" si="20"/>
        <v>2025-10</v>
      </c>
    </row>
    <row r="410" spans="1:13" x14ac:dyDescent="0.25">
      <c r="A410" s="1">
        <v>45940</v>
      </c>
      <c r="B410" t="s">
        <v>32</v>
      </c>
      <c r="C410" s="2">
        <v>11000</v>
      </c>
      <c r="D410" t="s">
        <v>89</v>
      </c>
      <c r="E410" s="16" t="s">
        <v>90</v>
      </c>
      <c r="G410" s="7"/>
      <c r="I410" s="7"/>
      <c r="K410" t="str">
        <f t="shared" si="18"/>
        <v/>
      </c>
      <c r="L410" t="str">
        <f t="shared" si="19"/>
        <v/>
      </c>
      <c r="M410" t="str">
        <f t="shared" si="20"/>
        <v>2025-10</v>
      </c>
    </row>
    <row r="411" spans="1:13" x14ac:dyDescent="0.25">
      <c r="A411" s="1">
        <v>45940</v>
      </c>
      <c r="B411" t="s">
        <v>91</v>
      </c>
      <c r="C411" s="2">
        <v>9000</v>
      </c>
      <c r="D411" t="s">
        <v>89</v>
      </c>
      <c r="E411" s="16" t="s">
        <v>90</v>
      </c>
      <c r="G411" s="7"/>
      <c r="I411" s="7"/>
      <c r="K411" t="str">
        <f t="shared" si="18"/>
        <v/>
      </c>
      <c r="L411" t="str">
        <f t="shared" si="19"/>
        <v/>
      </c>
      <c r="M411" t="str">
        <f t="shared" si="20"/>
        <v>2025-10</v>
      </c>
    </row>
    <row r="412" spans="1:13" x14ac:dyDescent="0.25">
      <c r="A412" s="1">
        <v>45943</v>
      </c>
      <c r="B412" t="s">
        <v>99</v>
      </c>
      <c r="C412" s="2">
        <v>1100</v>
      </c>
      <c r="D412" t="s">
        <v>89</v>
      </c>
      <c r="E412" s="16" t="s">
        <v>90</v>
      </c>
      <c r="G412" s="7"/>
      <c r="I412" s="7"/>
      <c r="K412" t="str">
        <f t="shared" si="18"/>
        <v/>
      </c>
      <c r="L412" t="str">
        <f t="shared" si="19"/>
        <v/>
      </c>
      <c r="M412" t="str">
        <f t="shared" si="20"/>
        <v>2025-10</v>
      </c>
    </row>
    <row r="413" spans="1:13" x14ac:dyDescent="0.25">
      <c r="A413" s="1">
        <v>45943</v>
      </c>
      <c r="B413" t="s">
        <v>33</v>
      </c>
      <c r="C413" s="2">
        <v>10400</v>
      </c>
      <c r="D413" t="s">
        <v>89</v>
      </c>
      <c r="E413" s="16" t="s">
        <v>90</v>
      </c>
      <c r="G413" s="7"/>
      <c r="I413" s="7"/>
      <c r="K413" t="str">
        <f t="shared" si="18"/>
        <v/>
      </c>
      <c r="L413" t="str">
        <f t="shared" si="19"/>
        <v/>
      </c>
      <c r="M413" t="str">
        <f t="shared" si="20"/>
        <v>2025-10</v>
      </c>
    </row>
    <row r="414" spans="1:13" x14ac:dyDescent="0.25">
      <c r="A414" s="1">
        <v>45943</v>
      </c>
      <c r="B414" t="s">
        <v>30</v>
      </c>
      <c r="C414" s="2">
        <v>8500</v>
      </c>
      <c r="D414" t="s">
        <v>89</v>
      </c>
      <c r="E414" s="16" t="s">
        <v>90</v>
      </c>
      <c r="G414" s="7"/>
      <c r="I414" s="7"/>
      <c r="K414" t="str">
        <f t="shared" si="18"/>
        <v/>
      </c>
      <c r="L414" t="str">
        <f t="shared" si="19"/>
        <v/>
      </c>
      <c r="M414" t="str">
        <f t="shared" si="20"/>
        <v>2025-10</v>
      </c>
    </row>
    <row r="415" spans="1:13" x14ac:dyDescent="0.25">
      <c r="A415" s="1">
        <v>45944</v>
      </c>
      <c r="B415" t="s">
        <v>92</v>
      </c>
      <c r="C415" s="2">
        <v>25650</v>
      </c>
      <c r="D415" t="s">
        <v>89</v>
      </c>
      <c r="E415" s="16" t="s">
        <v>90</v>
      </c>
      <c r="G415" s="7"/>
      <c r="I415" s="7"/>
      <c r="K415" t="str">
        <f t="shared" si="18"/>
        <v/>
      </c>
      <c r="L415" t="str">
        <f t="shared" si="19"/>
        <v/>
      </c>
      <c r="M415" t="str">
        <f t="shared" si="20"/>
        <v>2025-10</v>
      </c>
    </row>
    <row r="416" spans="1:13" x14ac:dyDescent="0.25">
      <c r="A416" s="1">
        <v>45944</v>
      </c>
      <c r="B416" t="s">
        <v>99</v>
      </c>
      <c r="C416" s="2">
        <v>1100</v>
      </c>
      <c r="D416" t="s">
        <v>89</v>
      </c>
      <c r="E416" s="16" t="s">
        <v>90</v>
      </c>
      <c r="G416" s="7"/>
      <c r="I416" s="7"/>
      <c r="K416" t="str">
        <f t="shared" si="18"/>
        <v/>
      </c>
      <c r="L416" t="str">
        <f t="shared" si="19"/>
        <v/>
      </c>
      <c r="M416" t="str">
        <f t="shared" si="20"/>
        <v>2025-10</v>
      </c>
    </row>
    <row r="417" spans="1:13" x14ac:dyDescent="0.25">
      <c r="A417" s="1">
        <v>45944</v>
      </c>
      <c r="B417" t="s">
        <v>91</v>
      </c>
      <c r="C417" s="2">
        <v>3000</v>
      </c>
      <c r="D417" t="s">
        <v>89</v>
      </c>
      <c r="E417" s="16" t="s">
        <v>90</v>
      </c>
      <c r="G417" s="7"/>
      <c r="I417" s="7"/>
      <c r="K417" t="str">
        <f t="shared" si="18"/>
        <v/>
      </c>
      <c r="L417" t="str">
        <f t="shared" si="19"/>
        <v/>
      </c>
      <c r="M417" t="str">
        <f t="shared" si="20"/>
        <v>2025-10</v>
      </c>
    </row>
    <row r="418" spans="1:13" x14ac:dyDescent="0.25">
      <c r="A418" s="1">
        <v>45944</v>
      </c>
      <c r="B418" t="s">
        <v>8</v>
      </c>
      <c r="C418" s="2">
        <v>320</v>
      </c>
      <c r="D418" t="s">
        <v>89</v>
      </c>
      <c r="E418" s="16" t="s">
        <v>90</v>
      </c>
      <c r="G418" s="7"/>
      <c r="I418" s="7"/>
      <c r="K418" t="str">
        <f t="shared" si="18"/>
        <v/>
      </c>
      <c r="L418" t="str">
        <f t="shared" si="19"/>
        <v/>
      </c>
      <c r="M418" t="str">
        <f t="shared" si="20"/>
        <v>2025-10</v>
      </c>
    </row>
    <row r="419" spans="1:13" x14ac:dyDescent="0.25">
      <c r="A419" s="1">
        <v>45945</v>
      </c>
      <c r="B419" t="s">
        <v>34</v>
      </c>
      <c r="C419" s="2">
        <v>8710</v>
      </c>
      <c r="D419" t="s">
        <v>89</v>
      </c>
      <c r="E419" s="16" t="s">
        <v>90</v>
      </c>
      <c r="G419" s="7"/>
      <c r="I419" s="7"/>
      <c r="K419" t="str">
        <f t="shared" si="18"/>
        <v/>
      </c>
      <c r="L419" t="str">
        <f t="shared" si="19"/>
        <v/>
      </c>
      <c r="M419" t="str">
        <f t="shared" si="20"/>
        <v>2025-10</v>
      </c>
    </row>
    <row r="420" spans="1:13" x14ac:dyDescent="0.25">
      <c r="A420" s="1">
        <v>45945</v>
      </c>
      <c r="B420" t="s">
        <v>26</v>
      </c>
      <c r="C420" s="2">
        <v>1050</v>
      </c>
      <c r="D420" t="s">
        <v>89</v>
      </c>
      <c r="E420" s="16" t="s">
        <v>90</v>
      </c>
      <c r="G420" s="7"/>
      <c r="I420" s="7"/>
      <c r="K420" t="str">
        <f t="shared" si="18"/>
        <v/>
      </c>
      <c r="L420" t="str">
        <f t="shared" si="19"/>
        <v/>
      </c>
      <c r="M420" t="str">
        <f t="shared" si="20"/>
        <v>2025-10</v>
      </c>
    </row>
    <row r="421" spans="1:13" x14ac:dyDescent="0.25">
      <c r="A421" s="1">
        <v>45945</v>
      </c>
      <c r="B421" t="s">
        <v>99</v>
      </c>
      <c r="C421" s="2">
        <v>4400</v>
      </c>
      <c r="D421" t="s">
        <v>89</v>
      </c>
      <c r="E421" s="16" t="s">
        <v>90</v>
      </c>
      <c r="G421" s="7"/>
      <c r="I421" s="7"/>
      <c r="K421" t="str">
        <f t="shared" si="18"/>
        <v/>
      </c>
      <c r="L421" t="str">
        <f t="shared" si="19"/>
        <v/>
      </c>
      <c r="M421" t="str">
        <f t="shared" si="20"/>
        <v>2025-10</v>
      </c>
    </row>
    <row r="422" spans="1:13" x14ac:dyDescent="0.25">
      <c r="A422" s="1">
        <v>45945</v>
      </c>
      <c r="B422" t="s">
        <v>96</v>
      </c>
      <c r="C422" s="2">
        <v>1250</v>
      </c>
      <c r="D422" t="s">
        <v>89</v>
      </c>
      <c r="E422" s="16" t="s">
        <v>90</v>
      </c>
      <c r="G422" s="7"/>
      <c r="I422" s="7"/>
      <c r="K422" t="str">
        <f t="shared" si="18"/>
        <v/>
      </c>
      <c r="L422" t="str">
        <f t="shared" si="19"/>
        <v/>
      </c>
      <c r="M422" t="str">
        <f t="shared" si="20"/>
        <v>2025-10</v>
      </c>
    </row>
    <row r="423" spans="1:13" x14ac:dyDescent="0.25">
      <c r="A423" s="1">
        <v>45945</v>
      </c>
      <c r="B423" t="s">
        <v>27</v>
      </c>
      <c r="C423" s="2">
        <v>1050</v>
      </c>
      <c r="D423" t="s">
        <v>89</v>
      </c>
      <c r="E423" s="16" t="s">
        <v>90</v>
      </c>
      <c r="G423" s="7"/>
      <c r="I423" s="7"/>
      <c r="K423" t="str">
        <f t="shared" si="18"/>
        <v/>
      </c>
      <c r="L423" t="str">
        <f t="shared" si="19"/>
        <v/>
      </c>
      <c r="M423" t="str">
        <f t="shared" si="20"/>
        <v>2025-10</v>
      </c>
    </row>
    <row r="424" spans="1:13" x14ac:dyDescent="0.25">
      <c r="A424" s="1">
        <v>45945</v>
      </c>
      <c r="B424" t="s">
        <v>91</v>
      </c>
      <c r="C424" s="2">
        <v>3000</v>
      </c>
      <c r="D424" t="s">
        <v>89</v>
      </c>
      <c r="E424" s="16" t="s">
        <v>90</v>
      </c>
      <c r="G424" s="7"/>
      <c r="I424" s="7"/>
      <c r="K424" t="str">
        <f t="shared" si="18"/>
        <v/>
      </c>
      <c r="L424" t="str">
        <f t="shared" si="19"/>
        <v/>
      </c>
      <c r="M424" t="str">
        <f t="shared" si="20"/>
        <v>2025-10</v>
      </c>
    </row>
    <row r="425" spans="1:13" x14ac:dyDescent="0.25">
      <c r="A425" s="1">
        <v>45945</v>
      </c>
      <c r="B425" t="s">
        <v>91</v>
      </c>
      <c r="C425" s="2">
        <v>7500</v>
      </c>
      <c r="D425" t="s">
        <v>89</v>
      </c>
      <c r="E425" s="16" t="s">
        <v>90</v>
      </c>
      <c r="G425" s="7"/>
      <c r="I425" s="7"/>
      <c r="K425" t="str">
        <f t="shared" si="18"/>
        <v/>
      </c>
      <c r="L425" t="str">
        <f t="shared" si="19"/>
        <v/>
      </c>
      <c r="M425" t="str">
        <f t="shared" si="20"/>
        <v>2025-10</v>
      </c>
    </row>
    <row r="426" spans="1:13" x14ac:dyDescent="0.25">
      <c r="A426" s="1">
        <v>45945</v>
      </c>
      <c r="B426" t="s">
        <v>11</v>
      </c>
      <c r="C426" s="2">
        <v>1000</v>
      </c>
      <c r="D426" t="s">
        <v>89</v>
      </c>
      <c r="E426" s="16" t="s">
        <v>90</v>
      </c>
      <c r="G426" s="7"/>
      <c r="I426" s="7"/>
      <c r="K426" t="str">
        <f t="shared" si="18"/>
        <v/>
      </c>
      <c r="L426" t="str">
        <f t="shared" si="19"/>
        <v/>
      </c>
      <c r="M426" t="str">
        <f t="shared" si="20"/>
        <v>2025-10</v>
      </c>
    </row>
    <row r="427" spans="1:13" x14ac:dyDescent="0.25">
      <c r="A427" s="1">
        <v>45946</v>
      </c>
      <c r="B427" t="s">
        <v>32</v>
      </c>
      <c r="C427" s="2">
        <v>1100</v>
      </c>
      <c r="D427" t="s">
        <v>89</v>
      </c>
      <c r="E427" s="16" t="s">
        <v>90</v>
      </c>
      <c r="G427" s="7"/>
      <c r="I427" s="7"/>
      <c r="K427" t="str">
        <f t="shared" si="18"/>
        <v/>
      </c>
      <c r="L427" t="str">
        <f t="shared" si="19"/>
        <v/>
      </c>
      <c r="M427" t="str">
        <f t="shared" si="20"/>
        <v>2025-10</v>
      </c>
    </row>
    <row r="428" spans="1:13" x14ac:dyDescent="0.25">
      <c r="A428" s="1">
        <v>45946</v>
      </c>
      <c r="B428" t="s">
        <v>35</v>
      </c>
      <c r="C428" s="2">
        <v>10000</v>
      </c>
      <c r="D428" t="s">
        <v>89</v>
      </c>
      <c r="E428" s="16" t="s">
        <v>90</v>
      </c>
      <c r="G428" s="7"/>
      <c r="I428" s="7"/>
      <c r="K428" t="str">
        <f t="shared" si="18"/>
        <v/>
      </c>
      <c r="L428" t="str">
        <f t="shared" si="19"/>
        <v/>
      </c>
      <c r="M428" t="str">
        <f t="shared" si="20"/>
        <v>2025-10</v>
      </c>
    </row>
    <row r="429" spans="1:13" x14ac:dyDescent="0.25">
      <c r="A429" s="1">
        <v>45946</v>
      </c>
      <c r="B429" t="s">
        <v>31</v>
      </c>
      <c r="C429" s="2">
        <v>9000</v>
      </c>
      <c r="D429" t="s">
        <v>89</v>
      </c>
      <c r="E429" s="16" t="s">
        <v>90</v>
      </c>
      <c r="G429" s="7"/>
      <c r="I429" s="7"/>
      <c r="K429" t="str">
        <f t="shared" si="18"/>
        <v/>
      </c>
      <c r="L429" t="str">
        <f t="shared" si="19"/>
        <v/>
      </c>
      <c r="M429" t="str">
        <f t="shared" si="20"/>
        <v>2025-10</v>
      </c>
    </row>
    <row r="430" spans="1:13" x14ac:dyDescent="0.25">
      <c r="A430" s="1">
        <v>45946</v>
      </c>
      <c r="B430" t="s">
        <v>92</v>
      </c>
      <c r="C430" s="2">
        <v>1350</v>
      </c>
      <c r="D430" t="s">
        <v>89</v>
      </c>
      <c r="E430" s="16" t="s">
        <v>90</v>
      </c>
      <c r="G430" s="7"/>
      <c r="I430" s="7"/>
      <c r="K430" t="str">
        <f t="shared" si="18"/>
        <v/>
      </c>
      <c r="L430" t="str">
        <f t="shared" si="19"/>
        <v/>
      </c>
      <c r="M430" t="str">
        <f t="shared" si="20"/>
        <v>2025-10</v>
      </c>
    </row>
    <row r="431" spans="1:13" x14ac:dyDescent="0.25">
      <c r="A431" s="1">
        <v>45946</v>
      </c>
      <c r="B431" t="s">
        <v>92</v>
      </c>
      <c r="C431" s="2">
        <v>9450</v>
      </c>
      <c r="D431" t="s">
        <v>89</v>
      </c>
      <c r="E431" s="16" t="s">
        <v>90</v>
      </c>
      <c r="G431" s="7"/>
      <c r="I431" s="7"/>
      <c r="K431" t="str">
        <f t="shared" si="18"/>
        <v/>
      </c>
      <c r="L431" t="str">
        <f t="shared" si="19"/>
        <v/>
      </c>
      <c r="M431" t="str">
        <f t="shared" si="20"/>
        <v>2025-10</v>
      </c>
    </row>
    <row r="432" spans="1:13" x14ac:dyDescent="0.25">
      <c r="A432" s="1">
        <v>45947</v>
      </c>
      <c r="B432" t="s">
        <v>92</v>
      </c>
      <c r="C432" s="2">
        <v>2700</v>
      </c>
      <c r="D432" t="s">
        <v>89</v>
      </c>
      <c r="E432" s="16" t="s">
        <v>90</v>
      </c>
      <c r="G432" s="7"/>
      <c r="I432" s="7"/>
      <c r="K432" t="str">
        <f t="shared" si="18"/>
        <v/>
      </c>
      <c r="L432" t="str">
        <f t="shared" si="19"/>
        <v/>
      </c>
      <c r="M432" t="str">
        <f t="shared" si="20"/>
        <v>2025-10</v>
      </c>
    </row>
    <row r="433" spans="1:13" x14ac:dyDescent="0.25">
      <c r="A433" s="1">
        <v>45947</v>
      </c>
      <c r="B433" t="s">
        <v>29</v>
      </c>
      <c r="C433" s="2">
        <v>900</v>
      </c>
      <c r="D433" t="s">
        <v>89</v>
      </c>
      <c r="E433" s="16" t="s">
        <v>90</v>
      </c>
      <c r="G433" s="7"/>
      <c r="I433" s="7"/>
      <c r="K433" t="str">
        <f t="shared" si="18"/>
        <v/>
      </c>
      <c r="L433" t="str">
        <f t="shared" si="19"/>
        <v/>
      </c>
      <c r="M433" t="str">
        <f t="shared" si="20"/>
        <v>2025-10</v>
      </c>
    </row>
    <row r="434" spans="1:13" x14ac:dyDescent="0.25">
      <c r="A434" s="1">
        <v>45947</v>
      </c>
      <c r="B434" t="s">
        <v>15</v>
      </c>
      <c r="C434" s="2">
        <v>1000</v>
      </c>
      <c r="D434" t="s">
        <v>89</v>
      </c>
      <c r="E434" s="16" t="s">
        <v>90</v>
      </c>
      <c r="G434" s="7"/>
      <c r="I434" s="7"/>
      <c r="K434" t="str">
        <f t="shared" si="18"/>
        <v/>
      </c>
      <c r="L434" t="str">
        <f t="shared" si="19"/>
        <v/>
      </c>
      <c r="M434" t="str">
        <f t="shared" si="20"/>
        <v>2025-10</v>
      </c>
    </row>
    <row r="435" spans="1:13" x14ac:dyDescent="0.25">
      <c r="A435" s="1">
        <v>45947</v>
      </c>
      <c r="B435" t="s">
        <v>27</v>
      </c>
      <c r="C435" s="2">
        <v>1050</v>
      </c>
      <c r="D435" t="s">
        <v>89</v>
      </c>
      <c r="E435" s="16" t="s">
        <v>90</v>
      </c>
      <c r="G435" s="7"/>
      <c r="I435" s="7"/>
      <c r="K435" t="str">
        <f t="shared" si="18"/>
        <v/>
      </c>
      <c r="L435" t="str">
        <f t="shared" si="19"/>
        <v/>
      </c>
      <c r="M435" t="str">
        <f t="shared" si="20"/>
        <v>2025-10</v>
      </c>
    </row>
    <row r="436" spans="1:13" x14ac:dyDescent="0.25">
      <c r="A436" s="1">
        <v>45947</v>
      </c>
      <c r="B436" t="s">
        <v>27</v>
      </c>
      <c r="C436" s="2">
        <v>3150</v>
      </c>
      <c r="D436" t="s">
        <v>89</v>
      </c>
      <c r="E436" s="16" t="s">
        <v>90</v>
      </c>
      <c r="G436" s="7"/>
      <c r="I436" s="7"/>
      <c r="K436" t="str">
        <f t="shared" si="18"/>
        <v/>
      </c>
      <c r="L436" t="str">
        <f t="shared" si="19"/>
        <v/>
      </c>
      <c r="M436" t="str">
        <f t="shared" si="20"/>
        <v>2025-10</v>
      </c>
    </row>
    <row r="437" spans="1:13" x14ac:dyDescent="0.25">
      <c r="A437" s="1">
        <v>45947</v>
      </c>
      <c r="B437" t="s">
        <v>91</v>
      </c>
      <c r="C437" s="2">
        <v>6000</v>
      </c>
      <c r="D437" t="s">
        <v>89</v>
      </c>
      <c r="E437" s="16" t="s">
        <v>90</v>
      </c>
      <c r="G437" s="7"/>
      <c r="I437" s="7"/>
      <c r="K437" t="str">
        <f t="shared" si="18"/>
        <v/>
      </c>
      <c r="L437" t="str">
        <f t="shared" si="19"/>
        <v/>
      </c>
      <c r="M437" t="str">
        <f t="shared" si="20"/>
        <v>2025-10</v>
      </c>
    </row>
    <row r="438" spans="1:13" x14ac:dyDescent="0.25">
      <c r="A438" s="1">
        <v>45950</v>
      </c>
      <c r="B438" t="s">
        <v>35</v>
      </c>
      <c r="C438" s="2">
        <v>10000</v>
      </c>
      <c r="D438" t="s">
        <v>89</v>
      </c>
      <c r="E438" s="16" t="s">
        <v>90</v>
      </c>
      <c r="G438" s="7"/>
      <c r="I438" s="7"/>
      <c r="K438" t="str">
        <f t="shared" si="18"/>
        <v/>
      </c>
      <c r="L438" t="str">
        <f t="shared" si="19"/>
        <v/>
      </c>
      <c r="M438" t="str">
        <f t="shared" si="20"/>
        <v>2025-10</v>
      </c>
    </row>
    <row r="439" spans="1:13" x14ac:dyDescent="0.25">
      <c r="A439" s="1">
        <v>45950</v>
      </c>
      <c r="B439" t="s">
        <v>91</v>
      </c>
      <c r="C439" s="2">
        <v>1500</v>
      </c>
      <c r="D439" t="s">
        <v>89</v>
      </c>
      <c r="E439" s="16" t="s">
        <v>90</v>
      </c>
      <c r="G439" s="7"/>
      <c r="I439" s="7"/>
      <c r="K439" t="str">
        <f t="shared" si="18"/>
        <v/>
      </c>
      <c r="L439" t="str">
        <f t="shared" si="19"/>
        <v/>
      </c>
      <c r="M439" t="str">
        <f t="shared" si="20"/>
        <v>2025-10</v>
      </c>
    </row>
    <row r="440" spans="1:13" x14ac:dyDescent="0.25">
      <c r="A440" s="1">
        <v>45950</v>
      </c>
      <c r="B440" t="s">
        <v>91</v>
      </c>
      <c r="C440" s="2">
        <v>1500</v>
      </c>
      <c r="D440" t="s">
        <v>89</v>
      </c>
      <c r="E440" s="16" t="s">
        <v>90</v>
      </c>
      <c r="G440" s="7"/>
      <c r="I440" s="7"/>
      <c r="K440" t="str">
        <f t="shared" si="18"/>
        <v/>
      </c>
      <c r="L440" t="str">
        <f t="shared" si="19"/>
        <v/>
      </c>
      <c r="M440" t="str">
        <f t="shared" si="20"/>
        <v>2025-10</v>
      </c>
    </row>
    <row r="441" spans="1:13" x14ac:dyDescent="0.25">
      <c r="A441" s="1">
        <v>45950</v>
      </c>
      <c r="B441" t="s">
        <v>99</v>
      </c>
      <c r="C441" s="2">
        <v>22000</v>
      </c>
      <c r="D441" t="s">
        <v>89</v>
      </c>
      <c r="E441" s="16" t="s">
        <v>90</v>
      </c>
      <c r="G441" s="7"/>
      <c r="I441" s="7"/>
      <c r="K441" t="str">
        <f t="shared" si="18"/>
        <v/>
      </c>
      <c r="L441" t="str">
        <f t="shared" si="19"/>
        <v/>
      </c>
      <c r="M441" t="str">
        <f t="shared" si="20"/>
        <v>2025-10</v>
      </c>
    </row>
    <row r="442" spans="1:13" x14ac:dyDescent="0.25">
      <c r="A442" s="1">
        <v>45950</v>
      </c>
      <c r="B442" t="s">
        <v>32</v>
      </c>
      <c r="C442" s="2">
        <v>8000</v>
      </c>
      <c r="D442" t="s">
        <v>89</v>
      </c>
      <c r="E442" s="16" t="s">
        <v>90</v>
      </c>
      <c r="G442" s="7"/>
      <c r="I442" s="7"/>
      <c r="K442" t="str">
        <f t="shared" si="18"/>
        <v/>
      </c>
      <c r="L442" t="str">
        <f t="shared" si="19"/>
        <v/>
      </c>
      <c r="M442" t="str">
        <f t="shared" si="20"/>
        <v>2025-10</v>
      </c>
    </row>
    <row r="443" spans="1:13" x14ac:dyDescent="0.25">
      <c r="A443" s="1">
        <v>45950</v>
      </c>
      <c r="B443" t="s">
        <v>35</v>
      </c>
      <c r="C443" s="2">
        <v>10000</v>
      </c>
      <c r="D443" t="s">
        <v>89</v>
      </c>
      <c r="E443" s="16" t="s">
        <v>90</v>
      </c>
      <c r="G443" s="7"/>
      <c r="I443" s="7"/>
      <c r="K443" t="str">
        <f t="shared" si="18"/>
        <v/>
      </c>
      <c r="L443" t="str">
        <f t="shared" si="19"/>
        <v/>
      </c>
      <c r="M443" t="str">
        <f t="shared" si="20"/>
        <v>2025-10</v>
      </c>
    </row>
    <row r="444" spans="1:13" x14ac:dyDescent="0.25">
      <c r="A444" s="1">
        <v>45951</v>
      </c>
      <c r="B444" t="s">
        <v>91</v>
      </c>
      <c r="C444" s="2">
        <v>7500</v>
      </c>
      <c r="D444" t="s">
        <v>89</v>
      </c>
      <c r="E444" s="16" t="s">
        <v>90</v>
      </c>
      <c r="G444" s="7"/>
      <c r="I444" s="7"/>
      <c r="K444" t="str">
        <f t="shared" si="18"/>
        <v/>
      </c>
      <c r="L444" t="str">
        <f t="shared" si="19"/>
        <v/>
      </c>
      <c r="M444" t="str">
        <f t="shared" si="20"/>
        <v>2025-10</v>
      </c>
    </row>
    <row r="445" spans="1:13" x14ac:dyDescent="0.25">
      <c r="A445" s="1">
        <v>45951</v>
      </c>
      <c r="B445" t="s">
        <v>92</v>
      </c>
      <c r="C445" s="2">
        <v>1350</v>
      </c>
      <c r="D445" t="s">
        <v>89</v>
      </c>
      <c r="E445" s="16" t="s">
        <v>90</v>
      </c>
      <c r="G445" s="7"/>
      <c r="I445" s="7"/>
      <c r="K445" t="str">
        <f t="shared" si="18"/>
        <v/>
      </c>
      <c r="L445" t="str">
        <f t="shared" si="19"/>
        <v/>
      </c>
      <c r="M445" t="str">
        <f t="shared" si="20"/>
        <v>2025-10</v>
      </c>
    </row>
    <row r="446" spans="1:13" x14ac:dyDescent="0.25">
      <c r="A446" s="1">
        <v>45951</v>
      </c>
      <c r="B446" t="s">
        <v>96</v>
      </c>
      <c r="C446" s="2">
        <v>1250</v>
      </c>
      <c r="D446" t="s">
        <v>89</v>
      </c>
      <c r="E446" s="16" t="s">
        <v>90</v>
      </c>
      <c r="G446" s="7"/>
      <c r="I446" s="7"/>
      <c r="K446" t="str">
        <f t="shared" si="18"/>
        <v/>
      </c>
      <c r="L446" t="str">
        <f t="shared" si="19"/>
        <v/>
      </c>
      <c r="M446" t="str">
        <f t="shared" si="20"/>
        <v>2025-10</v>
      </c>
    </row>
    <row r="447" spans="1:13" x14ac:dyDescent="0.25">
      <c r="A447" s="1">
        <v>45951</v>
      </c>
      <c r="B447" t="s">
        <v>93</v>
      </c>
      <c r="C447" s="2">
        <v>500</v>
      </c>
      <c r="D447" t="s">
        <v>89</v>
      </c>
      <c r="E447" s="16" t="s">
        <v>90</v>
      </c>
      <c r="G447" s="7"/>
      <c r="I447" s="7"/>
      <c r="K447" t="str">
        <f t="shared" si="18"/>
        <v/>
      </c>
      <c r="L447" t="str">
        <f t="shared" si="19"/>
        <v/>
      </c>
      <c r="M447" t="str">
        <f t="shared" si="20"/>
        <v>2025-10</v>
      </c>
    </row>
    <row r="448" spans="1:13" x14ac:dyDescent="0.25">
      <c r="A448" s="1">
        <v>45951</v>
      </c>
      <c r="B448" t="s">
        <v>28</v>
      </c>
      <c r="C448" s="2">
        <v>3000</v>
      </c>
      <c r="D448" t="s">
        <v>89</v>
      </c>
      <c r="E448" s="16" t="s">
        <v>90</v>
      </c>
      <c r="G448" s="7"/>
      <c r="I448" s="7"/>
      <c r="K448" t="str">
        <f t="shared" si="18"/>
        <v/>
      </c>
      <c r="L448" t="str">
        <f t="shared" si="19"/>
        <v/>
      </c>
      <c r="M448" t="str">
        <f t="shared" si="20"/>
        <v>2025-10</v>
      </c>
    </row>
    <row r="449" spans="1:13" x14ac:dyDescent="0.25">
      <c r="A449" s="1">
        <v>45952</v>
      </c>
      <c r="B449" t="s">
        <v>33</v>
      </c>
      <c r="C449" s="2">
        <v>10400</v>
      </c>
      <c r="D449" t="s">
        <v>89</v>
      </c>
      <c r="E449" s="16" t="s">
        <v>90</v>
      </c>
      <c r="G449" s="7"/>
      <c r="I449" s="7"/>
      <c r="K449" t="str">
        <f t="shared" si="18"/>
        <v/>
      </c>
      <c r="L449" t="str">
        <f t="shared" si="19"/>
        <v/>
      </c>
      <c r="M449" t="str">
        <f t="shared" si="20"/>
        <v>2025-10</v>
      </c>
    </row>
    <row r="450" spans="1:13" x14ac:dyDescent="0.25">
      <c r="A450" s="1">
        <v>45952</v>
      </c>
      <c r="B450" t="s">
        <v>35</v>
      </c>
      <c r="C450" s="2">
        <v>10000</v>
      </c>
      <c r="D450" t="s">
        <v>89</v>
      </c>
      <c r="E450" s="16" t="s">
        <v>90</v>
      </c>
      <c r="G450" s="7"/>
      <c r="I450" s="7"/>
      <c r="K450" t="str">
        <f t="shared" ref="K450:K513" si="21">IF(AND(L450&lt;&gt;"",C450&gt;0),L450/C450,"")</f>
        <v/>
      </c>
      <c r="L450" t="str">
        <f t="shared" ref="L450:L513" si="22">IF(AND(D450="FINALIZADO",H450&lt;&gt;""),VALUE(LEFT(H450,FIND("h",H450)-1))*60+VALUE(MID(H450,FIND("h",H450)+2,FIND("min",H450)-FIND("h",H450)-2)),"")</f>
        <v/>
      </c>
      <c r="M450" t="str">
        <f t="shared" ref="M450:M513" si="23">TEXT(YEAR(A450),"0000")&amp;"-"&amp;TEXT(MONTH(A450),"00")</f>
        <v>2025-10</v>
      </c>
    </row>
    <row r="451" spans="1:13" x14ac:dyDescent="0.25">
      <c r="A451" s="1">
        <v>45952</v>
      </c>
      <c r="B451" t="s">
        <v>29</v>
      </c>
      <c r="C451" s="2">
        <v>3600</v>
      </c>
      <c r="D451" t="s">
        <v>89</v>
      </c>
      <c r="E451" s="16" t="s">
        <v>90</v>
      </c>
      <c r="G451" s="7"/>
      <c r="I451" s="7"/>
      <c r="K451" t="str">
        <f t="shared" si="21"/>
        <v/>
      </c>
      <c r="L451" t="str">
        <f t="shared" si="22"/>
        <v/>
      </c>
      <c r="M451" t="str">
        <f t="shared" si="23"/>
        <v>2025-10</v>
      </c>
    </row>
    <row r="452" spans="1:13" x14ac:dyDescent="0.25">
      <c r="A452" s="1">
        <v>45952</v>
      </c>
      <c r="B452" t="s">
        <v>100</v>
      </c>
      <c r="C452" s="2">
        <v>500</v>
      </c>
      <c r="D452" t="s">
        <v>89</v>
      </c>
      <c r="E452" s="16" t="s">
        <v>90</v>
      </c>
      <c r="G452" s="7"/>
      <c r="I452" s="7"/>
      <c r="K452" t="str">
        <f t="shared" si="21"/>
        <v/>
      </c>
      <c r="L452" t="str">
        <f t="shared" si="22"/>
        <v/>
      </c>
      <c r="M452" t="str">
        <f t="shared" si="23"/>
        <v>2025-10</v>
      </c>
    </row>
    <row r="453" spans="1:13" x14ac:dyDescent="0.25">
      <c r="A453" s="1">
        <v>45952</v>
      </c>
      <c r="B453" t="s">
        <v>104</v>
      </c>
      <c r="C453" s="2">
        <v>2200</v>
      </c>
      <c r="D453" t="s">
        <v>89</v>
      </c>
      <c r="E453" s="16" t="s">
        <v>90</v>
      </c>
      <c r="G453" s="7"/>
      <c r="I453" s="7"/>
      <c r="K453" t="str">
        <f t="shared" si="21"/>
        <v/>
      </c>
      <c r="L453" t="str">
        <f t="shared" si="22"/>
        <v/>
      </c>
      <c r="M453" t="str">
        <f t="shared" si="23"/>
        <v>2025-10</v>
      </c>
    </row>
    <row r="454" spans="1:13" x14ac:dyDescent="0.25">
      <c r="A454" s="1">
        <v>45952</v>
      </c>
      <c r="B454" t="s">
        <v>34</v>
      </c>
      <c r="C454" s="2">
        <v>6600</v>
      </c>
      <c r="D454" t="s">
        <v>89</v>
      </c>
      <c r="E454" s="16" t="s">
        <v>90</v>
      </c>
      <c r="G454" s="7"/>
      <c r="I454" s="7"/>
      <c r="K454" t="str">
        <f t="shared" si="21"/>
        <v/>
      </c>
      <c r="L454" t="str">
        <f t="shared" si="22"/>
        <v/>
      </c>
      <c r="M454" t="str">
        <f t="shared" si="23"/>
        <v>2025-10</v>
      </c>
    </row>
    <row r="455" spans="1:13" x14ac:dyDescent="0.25">
      <c r="A455" s="1">
        <v>45953</v>
      </c>
      <c r="B455" t="s">
        <v>35</v>
      </c>
      <c r="C455" s="2">
        <v>10000</v>
      </c>
      <c r="D455" t="s">
        <v>89</v>
      </c>
      <c r="E455" s="16" t="s">
        <v>90</v>
      </c>
      <c r="G455" s="7"/>
      <c r="I455" s="7"/>
      <c r="K455" t="str">
        <f t="shared" si="21"/>
        <v/>
      </c>
      <c r="L455" t="str">
        <f t="shared" si="22"/>
        <v/>
      </c>
      <c r="M455" t="str">
        <f t="shared" si="23"/>
        <v>2025-10</v>
      </c>
    </row>
    <row r="456" spans="1:13" x14ac:dyDescent="0.25">
      <c r="A456" s="1">
        <v>45953</v>
      </c>
      <c r="B456" t="s">
        <v>92</v>
      </c>
      <c r="C456" s="2">
        <v>2700</v>
      </c>
      <c r="D456" t="s">
        <v>89</v>
      </c>
      <c r="E456" s="16" t="s">
        <v>90</v>
      </c>
      <c r="G456" s="7"/>
      <c r="I456" s="7"/>
      <c r="K456" t="str">
        <f t="shared" si="21"/>
        <v/>
      </c>
      <c r="L456" t="str">
        <f t="shared" si="22"/>
        <v/>
      </c>
      <c r="M456" t="str">
        <f t="shared" si="23"/>
        <v>2025-10</v>
      </c>
    </row>
    <row r="457" spans="1:13" x14ac:dyDescent="0.25">
      <c r="A457" s="1">
        <v>45953</v>
      </c>
      <c r="B457" t="s">
        <v>92</v>
      </c>
      <c r="C457" s="2">
        <v>2700</v>
      </c>
      <c r="D457" t="s">
        <v>89</v>
      </c>
      <c r="E457" s="16" t="s">
        <v>90</v>
      </c>
      <c r="G457" s="7"/>
      <c r="I457" s="7"/>
      <c r="K457" t="str">
        <f t="shared" si="21"/>
        <v/>
      </c>
      <c r="L457" t="str">
        <f t="shared" si="22"/>
        <v/>
      </c>
      <c r="M457" t="str">
        <f t="shared" si="23"/>
        <v>2025-10</v>
      </c>
    </row>
    <row r="458" spans="1:13" x14ac:dyDescent="0.25">
      <c r="A458" s="1">
        <v>45953</v>
      </c>
      <c r="B458" t="s">
        <v>92</v>
      </c>
      <c r="C458" s="2">
        <v>4050</v>
      </c>
      <c r="D458" t="s">
        <v>89</v>
      </c>
      <c r="E458" s="16" t="s">
        <v>90</v>
      </c>
      <c r="G458" s="7"/>
      <c r="I458" s="7"/>
      <c r="K458" t="str">
        <f t="shared" si="21"/>
        <v/>
      </c>
      <c r="L458" t="str">
        <f t="shared" si="22"/>
        <v/>
      </c>
      <c r="M458" t="str">
        <f t="shared" si="23"/>
        <v>2025-10</v>
      </c>
    </row>
    <row r="459" spans="1:13" x14ac:dyDescent="0.25">
      <c r="A459" s="1">
        <v>45953</v>
      </c>
      <c r="B459" t="s">
        <v>13</v>
      </c>
      <c r="C459" s="2">
        <v>1000</v>
      </c>
      <c r="D459" t="s">
        <v>89</v>
      </c>
      <c r="E459" s="16" t="s">
        <v>90</v>
      </c>
      <c r="G459" s="7"/>
      <c r="I459" s="7"/>
      <c r="K459" t="str">
        <f t="shared" si="21"/>
        <v/>
      </c>
      <c r="L459" t="str">
        <f t="shared" si="22"/>
        <v/>
      </c>
      <c r="M459" t="str">
        <f t="shared" si="23"/>
        <v>2025-10</v>
      </c>
    </row>
    <row r="460" spans="1:13" x14ac:dyDescent="0.25">
      <c r="A460" s="1">
        <v>45953</v>
      </c>
      <c r="B460" t="s">
        <v>94</v>
      </c>
      <c r="C460" s="2">
        <v>2000</v>
      </c>
      <c r="D460" t="s">
        <v>89</v>
      </c>
      <c r="E460" s="16" t="s">
        <v>90</v>
      </c>
      <c r="G460" s="7"/>
      <c r="I460" s="7"/>
      <c r="K460" t="str">
        <f t="shared" si="21"/>
        <v/>
      </c>
      <c r="L460" t="str">
        <f t="shared" si="22"/>
        <v/>
      </c>
      <c r="M460" t="str">
        <f t="shared" si="23"/>
        <v>2025-10</v>
      </c>
    </row>
    <row r="461" spans="1:13" x14ac:dyDescent="0.25">
      <c r="A461" s="1">
        <v>45953</v>
      </c>
      <c r="B461" t="s">
        <v>91</v>
      </c>
      <c r="C461" s="2">
        <v>12300</v>
      </c>
      <c r="D461" t="s">
        <v>89</v>
      </c>
      <c r="E461" s="16" t="s">
        <v>90</v>
      </c>
      <c r="G461" s="7"/>
      <c r="I461" s="7"/>
      <c r="K461" t="str">
        <f t="shared" si="21"/>
        <v/>
      </c>
      <c r="L461" t="str">
        <f t="shared" si="22"/>
        <v/>
      </c>
      <c r="M461" t="str">
        <f t="shared" si="23"/>
        <v>2025-10</v>
      </c>
    </row>
    <row r="462" spans="1:13" x14ac:dyDescent="0.25">
      <c r="A462" s="1">
        <v>45953</v>
      </c>
      <c r="B462" t="s">
        <v>99</v>
      </c>
      <c r="C462" s="2">
        <v>1100</v>
      </c>
      <c r="D462" t="s">
        <v>89</v>
      </c>
      <c r="E462" s="16" t="s">
        <v>90</v>
      </c>
      <c r="G462" s="7"/>
      <c r="I462" s="7"/>
      <c r="K462" t="str">
        <f t="shared" si="21"/>
        <v/>
      </c>
      <c r="L462" t="str">
        <f t="shared" si="22"/>
        <v/>
      </c>
      <c r="M462" t="str">
        <f t="shared" si="23"/>
        <v>2025-10</v>
      </c>
    </row>
    <row r="463" spans="1:13" x14ac:dyDescent="0.25">
      <c r="A463" s="1">
        <v>45954</v>
      </c>
      <c r="B463" t="s">
        <v>92</v>
      </c>
      <c r="C463" s="2">
        <v>2600</v>
      </c>
      <c r="D463" t="s">
        <v>89</v>
      </c>
      <c r="E463" s="16" t="s">
        <v>90</v>
      </c>
      <c r="G463" s="7"/>
      <c r="I463" s="7"/>
      <c r="K463" t="str">
        <f t="shared" si="21"/>
        <v/>
      </c>
      <c r="L463" t="str">
        <f t="shared" si="22"/>
        <v/>
      </c>
      <c r="M463" t="str">
        <f t="shared" si="23"/>
        <v>2025-10</v>
      </c>
    </row>
    <row r="464" spans="1:13" x14ac:dyDescent="0.25">
      <c r="A464" s="1">
        <v>45954</v>
      </c>
      <c r="B464" t="s">
        <v>92</v>
      </c>
      <c r="C464" s="2">
        <v>6750</v>
      </c>
      <c r="D464" t="s">
        <v>89</v>
      </c>
      <c r="E464" s="16" t="s">
        <v>90</v>
      </c>
      <c r="G464" s="7"/>
      <c r="I464" s="7"/>
      <c r="K464" t="str">
        <f t="shared" si="21"/>
        <v/>
      </c>
      <c r="L464" t="str">
        <f t="shared" si="22"/>
        <v/>
      </c>
      <c r="M464" t="str">
        <f t="shared" si="23"/>
        <v>2025-10</v>
      </c>
    </row>
    <row r="465" spans="1:13" x14ac:dyDescent="0.25">
      <c r="A465" s="1">
        <v>45954</v>
      </c>
      <c r="B465" t="s">
        <v>91</v>
      </c>
      <c r="C465" s="2">
        <v>33000</v>
      </c>
      <c r="D465" t="s">
        <v>89</v>
      </c>
      <c r="E465" s="16" t="s">
        <v>90</v>
      </c>
      <c r="G465" s="7"/>
      <c r="I465" s="7"/>
      <c r="K465" t="str">
        <f t="shared" si="21"/>
        <v/>
      </c>
      <c r="L465" t="str">
        <f t="shared" si="22"/>
        <v/>
      </c>
      <c r="M465" t="str">
        <f t="shared" si="23"/>
        <v>2025-10</v>
      </c>
    </row>
    <row r="466" spans="1:13" x14ac:dyDescent="0.25">
      <c r="A466" s="1">
        <v>45954</v>
      </c>
      <c r="B466" t="s">
        <v>29</v>
      </c>
      <c r="C466" s="2">
        <v>3600</v>
      </c>
      <c r="D466" t="s">
        <v>89</v>
      </c>
      <c r="E466" s="16" t="s">
        <v>90</v>
      </c>
      <c r="G466" s="7"/>
      <c r="I466" s="7"/>
      <c r="K466" t="str">
        <f t="shared" si="21"/>
        <v/>
      </c>
      <c r="L466" t="str">
        <f t="shared" si="22"/>
        <v/>
      </c>
      <c r="M466" t="str">
        <f t="shared" si="23"/>
        <v>2025-10</v>
      </c>
    </row>
    <row r="467" spans="1:13" x14ac:dyDescent="0.25">
      <c r="A467" s="1">
        <v>45954</v>
      </c>
      <c r="B467" t="s">
        <v>22</v>
      </c>
      <c r="C467" s="2">
        <v>2000</v>
      </c>
      <c r="D467" t="s">
        <v>89</v>
      </c>
      <c r="E467" s="16" t="s">
        <v>90</v>
      </c>
      <c r="G467" s="7"/>
      <c r="I467" s="7"/>
      <c r="K467" t="str">
        <f t="shared" si="21"/>
        <v/>
      </c>
      <c r="L467" t="str">
        <f t="shared" si="22"/>
        <v/>
      </c>
      <c r="M467" t="str">
        <f t="shared" si="23"/>
        <v>2025-10</v>
      </c>
    </row>
    <row r="468" spans="1:13" x14ac:dyDescent="0.25">
      <c r="A468" s="1">
        <v>45954</v>
      </c>
      <c r="B468" t="s">
        <v>99</v>
      </c>
      <c r="C468" s="2">
        <v>7700</v>
      </c>
      <c r="D468" t="s">
        <v>89</v>
      </c>
      <c r="E468" s="16" t="s">
        <v>90</v>
      </c>
      <c r="G468" s="7"/>
      <c r="I468" s="7"/>
      <c r="K468" t="str">
        <f t="shared" si="21"/>
        <v/>
      </c>
      <c r="L468" t="str">
        <f t="shared" si="22"/>
        <v/>
      </c>
      <c r="M468" t="str">
        <f t="shared" si="23"/>
        <v>2025-10</v>
      </c>
    </row>
    <row r="469" spans="1:13" x14ac:dyDescent="0.25">
      <c r="A469" s="1">
        <v>45959</v>
      </c>
      <c r="B469" t="s">
        <v>91</v>
      </c>
      <c r="C469" s="2">
        <v>28500</v>
      </c>
      <c r="D469" t="s">
        <v>89</v>
      </c>
      <c r="E469" s="16" t="s">
        <v>90</v>
      </c>
      <c r="G469" s="7"/>
      <c r="I469" s="7"/>
      <c r="K469" t="str">
        <f t="shared" si="21"/>
        <v/>
      </c>
      <c r="L469" t="str">
        <f t="shared" si="22"/>
        <v/>
      </c>
      <c r="M469" t="str">
        <f t="shared" si="23"/>
        <v>2025-10</v>
      </c>
    </row>
    <row r="470" spans="1:13" x14ac:dyDescent="0.25">
      <c r="A470" s="1">
        <v>45959</v>
      </c>
      <c r="B470" t="s">
        <v>33</v>
      </c>
      <c r="C470" s="2">
        <v>22050</v>
      </c>
      <c r="D470" t="s">
        <v>89</v>
      </c>
      <c r="E470" s="16" t="s">
        <v>90</v>
      </c>
      <c r="G470" s="7"/>
      <c r="I470" s="7"/>
      <c r="K470" t="str">
        <f t="shared" si="21"/>
        <v/>
      </c>
      <c r="L470" t="str">
        <f t="shared" si="22"/>
        <v/>
      </c>
      <c r="M470" t="str">
        <f t="shared" si="23"/>
        <v>2025-10</v>
      </c>
    </row>
    <row r="471" spans="1:13" x14ac:dyDescent="0.25">
      <c r="A471" s="1">
        <v>45959</v>
      </c>
      <c r="B471" t="s">
        <v>92</v>
      </c>
      <c r="C471" s="2">
        <v>16200</v>
      </c>
      <c r="D471" t="s">
        <v>89</v>
      </c>
      <c r="E471" s="16" t="s">
        <v>90</v>
      </c>
      <c r="G471" s="7"/>
      <c r="I471" s="7"/>
      <c r="K471" t="str">
        <f t="shared" si="21"/>
        <v/>
      </c>
      <c r="L471" t="str">
        <f t="shared" si="22"/>
        <v/>
      </c>
      <c r="M471" t="str">
        <f t="shared" si="23"/>
        <v>2025-10</v>
      </c>
    </row>
    <row r="472" spans="1:13" x14ac:dyDescent="0.25">
      <c r="A472" s="1">
        <v>45959</v>
      </c>
      <c r="B472" t="s">
        <v>34</v>
      </c>
      <c r="C472" s="2">
        <v>14700</v>
      </c>
      <c r="D472" t="s">
        <v>89</v>
      </c>
      <c r="E472" s="16" t="s">
        <v>90</v>
      </c>
      <c r="G472" s="7"/>
      <c r="I472" s="7"/>
      <c r="K472" t="str">
        <f t="shared" si="21"/>
        <v/>
      </c>
      <c r="L472" t="str">
        <f t="shared" si="22"/>
        <v/>
      </c>
      <c r="M472" t="str">
        <f t="shared" si="23"/>
        <v>2025-10</v>
      </c>
    </row>
    <row r="473" spans="1:13" x14ac:dyDescent="0.25">
      <c r="A473" s="1">
        <v>45959</v>
      </c>
      <c r="B473" t="s">
        <v>34</v>
      </c>
      <c r="C473" s="2">
        <v>2100</v>
      </c>
      <c r="D473" t="s">
        <v>89</v>
      </c>
      <c r="E473" s="16" t="s">
        <v>90</v>
      </c>
      <c r="G473" s="7"/>
      <c r="I473" s="7"/>
      <c r="K473" t="str">
        <f t="shared" si="21"/>
        <v/>
      </c>
      <c r="L473" t="str">
        <f t="shared" si="22"/>
        <v/>
      </c>
      <c r="M473" t="str">
        <f t="shared" si="23"/>
        <v>2025-10</v>
      </c>
    </row>
    <row r="474" spans="1:13" x14ac:dyDescent="0.25">
      <c r="A474" s="1">
        <v>45959</v>
      </c>
      <c r="B474" t="s">
        <v>25</v>
      </c>
      <c r="C474" s="2">
        <v>1000</v>
      </c>
      <c r="D474" t="s">
        <v>89</v>
      </c>
      <c r="E474" s="16" t="s">
        <v>90</v>
      </c>
      <c r="G474" s="7"/>
      <c r="I474" s="7"/>
      <c r="K474" t="str">
        <f t="shared" si="21"/>
        <v/>
      </c>
      <c r="L474" t="str">
        <f t="shared" si="22"/>
        <v/>
      </c>
      <c r="M474" t="str">
        <f t="shared" si="23"/>
        <v>2025-10</v>
      </c>
    </row>
    <row r="475" spans="1:13" x14ac:dyDescent="0.25">
      <c r="A475" s="1">
        <v>45959</v>
      </c>
      <c r="B475" t="s">
        <v>104</v>
      </c>
      <c r="C475" s="2">
        <v>2100</v>
      </c>
      <c r="D475" t="s">
        <v>89</v>
      </c>
      <c r="E475" s="16" t="s">
        <v>90</v>
      </c>
      <c r="G475" s="7"/>
      <c r="I475" s="7"/>
      <c r="K475" t="str">
        <f t="shared" si="21"/>
        <v/>
      </c>
      <c r="L475" t="str">
        <f t="shared" si="22"/>
        <v/>
      </c>
      <c r="M475" t="str">
        <f t="shared" si="23"/>
        <v>2025-10</v>
      </c>
    </row>
    <row r="476" spans="1:13" x14ac:dyDescent="0.25">
      <c r="A476" s="1">
        <v>45959</v>
      </c>
      <c r="B476" t="s">
        <v>24</v>
      </c>
      <c r="C476" s="2">
        <v>210</v>
      </c>
      <c r="D476" t="s">
        <v>89</v>
      </c>
      <c r="E476" s="16" t="s">
        <v>90</v>
      </c>
      <c r="G476" s="7"/>
      <c r="I476" s="7"/>
      <c r="K476" t="str">
        <f t="shared" si="21"/>
        <v/>
      </c>
      <c r="L476" t="str">
        <f t="shared" si="22"/>
        <v/>
      </c>
      <c r="M476" t="str">
        <f t="shared" si="23"/>
        <v>2025-10</v>
      </c>
    </row>
    <row r="477" spans="1:13" x14ac:dyDescent="0.25">
      <c r="A477" s="1">
        <v>45959</v>
      </c>
      <c r="B477" t="s">
        <v>2</v>
      </c>
      <c r="C477" s="2">
        <v>60</v>
      </c>
      <c r="D477" t="s">
        <v>89</v>
      </c>
      <c r="E477" s="16" t="s">
        <v>90</v>
      </c>
      <c r="G477" s="7"/>
      <c r="I477" s="7"/>
      <c r="K477" t="str">
        <f t="shared" si="21"/>
        <v/>
      </c>
      <c r="L477" t="str">
        <f t="shared" si="22"/>
        <v/>
      </c>
      <c r="M477" t="str">
        <f t="shared" si="23"/>
        <v>2025-10</v>
      </c>
    </row>
    <row r="478" spans="1:13" x14ac:dyDescent="0.25">
      <c r="A478" s="1">
        <v>45959</v>
      </c>
      <c r="B478" t="s">
        <v>99</v>
      </c>
      <c r="C478" s="2">
        <v>12100</v>
      </c>
      <c r="D478" t="s">
        <v>89</v>
      </c>
      <c r="E478" s="16" t="s">
        <v>90</v>
      </c>
      <c r="G478" s="7"/>
      <c r="I478" s="7"/>
      <c r="K478" t="str">
        <f t="shared" si="21"/>
        <v/>
      </c>
      <c r="L478" t="str">
        <f t="shared" si="22"/>
        <v/>
      </c>
      <c r="M478" t="str">
        <f t="shared" si="23"/>
        <v>2025-10</v>
      </c>
    </row>
    <row r="479" spans="1:13" x14ac:dyDescent="0.25">
      <c r="A479" s="1">
        <v>45960</v>
      </c>
      <c r="B479" t="s">
        <v>91</v>
      </c>
      <c r="C479" s="2">
        <v>21000</v>
      </c>
      <c r="D479" t="s">
        <v>89</v>
      </c>
      <c r="E479" s="16" t="s">
        <v>90</v>
      </c>
      <c r="G479" s="7"/>
      <c r="I479" s="7"/>
      <c r="K479" t="str">
        <f t="shared" si="21"/>
        <v/>
      </c>
      <c r="L479" t="str">
        <f t="shared" si="22"/>
        <v/>
      </c>
      <c r="M479" t="str">
        <f t="shared" si="23"/>
        <v>2025-10</v>
      </c>
    </row>
    <row r="480" spans="1:13" x14ac:dyDescent="0.25">
      <c r="A480" s="1">
        <v>45960</v>
      </c>
      <c r="B480" t="s">
        <v>34</v>
      </c>
      <c r="C480" s="2">
        <v>16800</v>
      </c>
      <c r="D480" t="s">
        <v>89</v>
      </c>
      <c r="E480" s="16" t="s">
        <v>90</v>
      </c>
      <c r="G480" s="7"/>
      <c r="I480" s="7"/>
      <c r="K480" t="str">
        <f t="shared" si="21"/>
        <v/>
      </c>
      <c r="L480" t="str">
        <f t="shared" si="22"/>
        <v/>
      </c>
      <c r="M480" t="str">
        <f t="shared" si="23"/>
        <v>2025-10</v>
      </c>
    </row>
    <row r="481" spans="1:13" x14ac:dyDescent="0.25">
      <c r="A481" s="1">
        <v>45960</v>
      </c>
      <c r="B481" t="s">
        <v>104</v>
      </c>
      <c r="C481" s="2">
        <v>2100</v>
      </c>
      <c r="D481" t="s">
        <v>89</v>
      </c>
      <c r="E481" s="16" t="s">
        <v>90</v>
      </c>
      <c r="G481" s="7"/>
      <c r="I481" s="7"/>
      <c r="K481" t="str">
        <f t="shared" si="21"/>
        <v/>
      </c>
      <c r="L481" t="str">
        <f t="shared" si="22"/>
        <v/>
      </c>
      <c r="M481" t="str">
        <f t="shared" si="23"/>
        <v>2025-10</v>
      </c>
    </row>
    <row r="482" spans="1:13" x14ac:dyDescent="0.25">
      <c r="A482" s="1">
        <v>45960</v>
      </c>
      <c r="B482" t="s">
        <v>25</v>
      </c>
      <c r="C482" s="2">
        <v>1000</v>
      </c>
      <c r="D482" t="s">
        <v>89</v>
      </c>
      <c r="E482" s="16" t="s">
        <v>90</v>
      </c>
      <c r="G482" s="7"/>
      <c r="I482" s="7"/>
      <c r="K482" t="str">
        <f t="shared" si="21"/>
        <v/>
      </c>
      <c r="L482" t="str">
        <f t="shared" si="22"/>
        <v/>
      </c>
      <c r="M482" t="str">
        <f t="shared" si="23"/>
        <v>2025-10</v>
      </c>
    </row>
    <row r="483" spans="1:13" x14ac:dyDescent="0.25">
      <c r="A483" s="1">
        <v>45960</v>
      </c>
      <c r="B483" t="s">
        <v>92</v>
      </c>
      <c r="C483" s="2">
        <v>8100</v>
      </c>
      <c r="D483" t="s">
        <v>89</v>
      </c>
      <c r="E483" s="16" t="s">
        <v>90</v>
      </c>
      <c r="G483" s="7"/>
      <c r="I483" s="7"/>
      <c r="K483" t="str">
        <f t="shared" si="21"/>
        <v/>
      </c>
      <c r="L483" t="str">
        <f t="shared" si="22"/>
        <v/>
      </c>
      <c r="M483" t="str">
        <f t="shared" si="23"/>
        <v>2025-10</v>
      </c>
    </row>
    <row r="484" spans="1:13" x14ac:dyDescent="0.25">
      <c r="A484" s="1">
        <v>45960</v>
      </c>
      <c r="B484" t="s">
        <v>32</v>
      </c>
      <c r="C484" s="2">
        <v>1100</v>
      </c>
      <c r="D484" t="s">
        <v>89</v>
      </c>
      <c r="E484" s="16" t="s">
        <v>90</v>
      </c>
      <c r="G484" s="7"/>
      <c r="I484" s="7"/>
      <c r="K484" t="str">
        <f t="shared" si="21"/>
        <v/>
      </c>
      <c r="L484" t="str">
        <f t="shared" si="22"/>
        <v/>
      </c>
      <c r="M484" t="str">
        <f t="shared" si="23"/>
        <v>2025-10</v>
      </c>
    </row>
    <row r="485" spans="1:13" x14ac:dyDescent="0.25">
      <c r="A485" s="1">
        <v>45961</v>
      </c>
      <c r="B485" t="s">
        <v>34</v>
      </c>
      <c r="C485" s="2">
        <v>10500</v>
      </c>
      <c r="D485" t="s">
        <v>89</v>
      </c>
      <c r="E485" s="16" t="s">
        <v>90</v>
      </c>
      <c r="G485" s="7"/>
      <c r="I485" s="7"/>
      <c r="K485" t="str">
        <f t="shared" si="21"/>
        <v/>
      </c>
      <c r="L485" t="str">
        <f t="shared" si="22"/>
        <v/>
      </c>
      <c r="M485" t="str">
        <f t="shared" si="23"/>
        <v>2025-10</v>
      </c>
    </row>
    <row r="486" spans="1:13" x14ac:dyDescent="0.25">
      <c r="A486" s="1">
        <v>45961</v>
      </c>
      <c r="B486" t="s">
        <v>92</v>
      </c>
      <c r="C486" s="2">
        <v>8100</v>
      </c>
      <c r="D486" t="s">
        <v>89</v>
      </c>
      <c r="E486" s="16" t="s">
        <v>90</v>
      </c>
      <c r="G486" s="7"/>
      <c r="I486" s="7"/>
      <c r="K486" t="str">
        <f t="shared" si="21"/>
        <v/>
      </c>
      <c r="L486" t="str">
        <f t="shared" si="22"/>
        <v/>
      </c>
      <c r="M486" t="str">
        <f t="shared" si="23"/>
        <v>2025-10</v>
      </c>
    </row>
    <row r="487" spans="1:13" x14ac:dyDescent="0.25">
      <c r="A487" s="1">
        <v>45961</v>
      </c>
      <c r="B487" t="s">
        <v>22</v>
      </c>
      <c r="C487" s="2">
        <v>2000</v>
      </c>
      <c r="D487" t="s">
        <v>89</v>
      </c>
      <c r="E487" s="16" t="s">
        <v>90</v>
      </c>
      <c r="G487" s="7"/>
      <c r="I487" s="7"/>
      <c r="K487" t="str">
        <f t="shared" si="21"/>
        <v/>
      </c>
      <c r="L487" t="str">
        <f t="shared" si="22"/>
        <v/>
      </c>
      <c r="M487" t="str">
        <f t="shared" si="23"/>
        <v>2025-10</v>
      </c>
    </row>
    <row r="488" spans="1:13" x14ac:dyDescent="0.25">
      <c r="A488" s="1">
        <v>45961</v>
      </c>
      <c r="B488" t="s">
        <v>32</v>
      </c>
      <c r="C488" s="2">
        <v>13200</v>
      </c>
      <c r="D488" t="s">
        <v>89</v>
      </c>
      <c r="E488" s="16" t="s">
        <v>90</v>
      </c>
      <c r="G488" s="7"/>
      <c r="I488" s="7"/>
      <c r="K488" t="str">
        <f t="shared" si="21"/>
        <v/>
      </c>
      <c r="L488" t="str">
        <f t="shared" si="22"/>
        <v/>
      </c>
      <c r="M488" t="str">
        <f t="shared" si="23"/>
        <v>2025-10</v>
      </c>
    </row>
    <row r="489" spans="1:13" x14ac:dyDescent="0.25">
      <c r="A489" s="1">
        <v>45961</v>
      </c>
      <c r="B489" t="s">
        <v>29</v>
      </c>
      <c r="C489" s="2">
        <v>3600</v>
      </c>
      <c r="D489" t="s">
        <v>89</v>
      </c>
      <c r="E489" s="16" t="s">
        <v>90</v>
      </c>
      <c r="G489" s="7"/>
      <c r="I489" s="7"/>
      <c r="K489" t="str">
        <f t="shared" si="21"/>
        <v/>
      </c>
      <c r="L489" t="str">
        <f t="shared" si="22"/>
        <v/>
      </c>
      <c r="M489" t="str">
        <f t="shared" si="23"/>
        <v>2025-10</v>
      </c>
    </row>
    <row r="490" spans="1:13" x14ac:dyDescent="0.25">
      <c r="A490" s="1">
        <v>45961</v>
      </c>
      <c r="B490" t="s">
        <v>102</v>
      </c>
      <c r="C490" s="2">
        <v>1000</v>
      </c>
      <c r="D490" t="s">
        <v>89</v>
      </c>
      <c r="E490" s="16" t="s">
        <v>90</v>
      </c>
      <c r="G490" s="7"/>
      <c r="I490" s="7"/>
      <c r="K490" t="str">
        <f t="shared" si="21"/>
        <v/>
      </c>
      <c r="L490" t="str">
        <f t="shared" si="22"/>
        <v/>
      </c>
      <c r="M490" t="str">
        <f t="shared" si="23"/>
        <v>2025-10</v>
      </c>
    </row>
    <row r="491" spans="1:13" x14ac:dyDescent="0.25">
      <c r="A491" s="1">
        <v>45961</v>
      </c>
      <c r="B491" t="s">
        <v>35</v>
      </c>
      <c r="C491" s="2">
        <v>10500</v>
      </c>
      <c r="D491" t="s">
        <v>89</v>
      </c>
      <c r="E491" s="16" t="s">
        <v>90</v>
      </c>
      <c r="G491" s="7"/>
      <c r="I491" s="7"/>
      <c r="K491" t="str">
        <f t="shared" si="21"/>
        <v/>
      </c>
      <c r="L491" t="str">
        <f t="shared" si="22"/>
        <v/>
      </c>
      <c r="M491" t="str">
        <f t="shared" si="23"/>
        <v>2025-10</v>
      </c>
    </row>
    <row r="492" spans="1:13" x14ac:dyDescent="0.25">
      <c r="A492" s="1">
        <v>45964</v>
      </c>
      <c r="B492" t="s">
        <v>91</v>
      </c>
      <c r="C492" s="2">
        <v>9000</v>
      </c>
      <c r="D492" t="s">
        <v>89</v>
      </c>
      <c r="E492" s="16" t="s">
        <v>90</v>
      </c>
      <c r="G492" s="7"/>
      <c r="I492" s="7"/>
      <c r="K492" t="str">
        <f t="shared" si="21"/>
        <v/>
      </c>
      <c r="L492" t="str">
        <f t="shared" si="22"/>
        <v/>
      </c>
      <c r="M492" t="str">
        <f t="shared" si="23"/>
        <v>2025-11</v>
      </c>
    </row>
    <row r="493" spans="1:13" x14ac:dyDescent="0.25">
      <c r="A493" s="1">
        <v>45964</v>
      </c>
      <c r="B493" t="s">
        <v>33</v>
      </c>
      <c r="C493" s="2">
        <v>11550</v>
      </c>
      <c r="D493" t="s">
        <v>89</v>
      </c>
      <c r="E493" s="16" t="s">
        <v>90</v>
      </c>
      <c r="G493" s="7"/>
      <c r="I493" s="7"/>
      <c r="K493" t="str">
        <f t="shared" si="21"/>
        <v/>
      </c>
      <c r="L493" t="str">
        <f t="shared" si="22"/>
        <v/>
      </c>
      <c r="M493" t="str">
        <f t="shared" si="23"/>
        <v>2025-11</v>
      </c>
    </row>
    <row r="494" spans="1:13" x14ac:dyDescent="0.25">
      <c r="A494" s="1">
        <v>45964</v>
      </c>
      <c r="B494" t="s">
        <v>94</v>
      </c>
      <c r="C494" s="2">
        <v>2000</v>
      </c>
      <c r="D494" t="s">
        <v>89</v>
      </c>
      <c r="E494" s="16" t="s">
        <v>90</v>
      </c>
      <c r="G494" s="7"/>
      <c r="I494" s="7"/>
      <c r="K494" t="str">
        <f t="shared" si="21"/>
        <v/>
      </c>
      <c r="L494" t="str">
        <f t="shared" si="22"/>
        <v/>
      </c>
      <c r="M494" t="str">
        <f t="shared" si="23"/>
        <v>2025-11</v>
      </c>
    </row>
    <row r="495" spans="1:13" x14ac:dyDescent="0.25">
      <c r="A495" s="1">
        <v>45964</v>
      </c>
      <c r="B495" t="s">
        <v>92</v>
      </c>
      <c r="C495" s="2">
        <v>13500</v>
      </c>
      <c r="D495" t="s">
        <v>89</v>
      </c>
      <c r="E495" s="16" t="s">
        <v>90</v>
      </c>
      <c r="G495" s="7"/>
      <c r="I495" s="7"/>
      <c r="K495" t="str">
        <f t="shared" si="21"/>
        <v/>
      </c>
      <c r="L495" t="str">
        <f t="shared" si="22"/>
        <v/>
      </c>
      <c r="M495" t="str">
        <f t="shared" si="23"/>
        <v>2025-11</v>
      </c>
    </row>
    <row r="496" spans="1:13" x14ac:dyDescent="0.25">
      <c r="A496" s="1">
        <v>45964</v>
      </c>
      <c r="B496" t="s">
        <v>28</v>
      </c>
      <c r="C496" s="2">
        <v>4500</v>
      </c>
      <c r="D496" t="s">
        <v>89</v>
      </c>
      <c r="E496" s="16" t="s">
        <v>90</v>
      </c>
      <c r="G496" s="7"/>
      <c r="I496" s="7"/>
      <c r="K496" t="str">
        <f t="shared" si="21"/>
        <v/>
      </c>
      <c r="L496" t="str">
        <f t="shared" si="22"/>
        <v/>
      </c>
      <c r="M496" t="str">
        <f t="shared" si="23"/>
        <v>2025-11</v>
      </c>
    </row>
    <row r="497" spans="1:13" x14ac:dyDescent="0.25">
      <c r="A497" s="1">
        <v>45965</v>
      </c>
      <c r="B497" t="s">
        <v>99</v>
      </c>
      <c r="C497" s="2">
        <v>9900</v>
      </c>
      <c r="D497" t="s">
        <v>89</v>
      </c>
      <c r="E497" s="16" t="s">
        <v>90</v>
      </c>
      <c r="G497" s="7"/>
      <c r="I497" s="7"/>
      <c r="K497" t="str">
        <f t="shared" si="21"/>
        <v/>
      </c>
      <c r="L497" t="str">
        <f t="shared" si="22"/>
        <v/>
      </c>
      <c r="M497" t="str">
        <f t="shared" si="23"/>
        <v>2025-11</v>
      </c>
    </row>
    <row r="498" spans="1:13" x14ac:dyDescent="0.25">
      <c r="A498" s="1">
        <v>45965</v>
      </c>
      <c r="B498" t="s">
        <v>91</v>
      </c>
      <c r="C498" s="2">
        <v>12000</v>
      </c>
      <c r="D498" t="s">
        <v>89</v>
      </c>
      <c r="E498" s="16" t="s">
        <v>90</v>
      </c>
      <c r="G498" s="7"/>
      <c r="I498" s="7"/>
      <c r="K498" t="str">
        <f t="shared" si="21"/>
        <v/>
      </c>
      <c r="L498" t="str">
        <f t="shared" si="22"/>
        <v/>
      </c>
      <c r="M498" t="str">
        <f t="shared" si="23"/>
        <v>2025-11</v>
      </c>
    </row>
    <row r="499" spans="1:13" x14ac:dyDescent="0.25">
      <c r="A499" s="1">
        <v>45965</v>
      </c>
      <c r="B499" t="s">
        <v>17</v>
      </c>
      <c r="C499" s="2">
        <v>400</v>
      </c>
      <c r="D499" t="s">
        <v>89</v>
      </c>
      <c r="E499" s="16" t="s">
        <v>90</v>
      </c>
      <c r="G499" s="7"/>
      <c r="I499" s="7"/>
      <c r="K499" t="str">
        <f t="shared" si="21"/>
        <v/>
      </c>
      <c r="L499" t="str">
        <f t="shared" si="22"/>
        <v/>
      </c>
      <c r="M499" t="str">
        <f t="shared" si="23"/>
        <v>2025-11</v>
      </c>
    </row>
    <row r="500" spans="1:13" x14ac:dyDescent="0.25">
      <c r="A500" s="1">
        <v>45965</v>
      </c>
      <c r="B500" t="s">
        <v>96</v>
      </c>
      <c r="C500" s="2">
        <v>1250</v>
      </c>
      <c r="D500" t="s">
        <v>89</v>
      </c>
      <c r="E500" s="16" t="s">
        <v>90</v>
      </c>
      <c r="G500" s="7"/>
      <c r="I500" s="7"/>
      <c r="K500" t="str">
        <f t="shared" si="21"/>
        <v/>
      </c>
      <c r="L500" t="str">
        <f t="shared" si="22"/>
        <v/>
      </c>
      <c r="M500" t="str">
        <f t="shared" si="23"/>
        <v>2025-11</v>
      </c>
    </row>
    <row r="501" spans="1:13" x14ac:dyDescent="0.25">
      <c r="A501" s="1">
        <v>45965</v>
      </c>
      <c r="B501" t="s">
        <v>92</v>
      </c>
      <c r="C501" s="2">
        <v>5400</v>
      </c>
      <c r="D501" t="s">
        <v>89</v>
      </c>
      <c r="E501" s="16" t="s">
        <v>90</v>
      </c>
      <c r="G501" s="7"/>
      <c r="I501" s="7"/>
      <c r="K501" t="str">
        <f t="shared" si="21"/>
        <v/>
      </c>
      <c r="L501" t="str">
        <f t="shared" si="22"/>
        <v/>
      </c>
      <c r="M501" t="str">
        <f t="shared" si="23"/>
        <v>2025-11</v>
      </c>
    </row>
    <row r="502" spans="1:13" x14ac:dyDescent="0.25">
      <c r="A502" s="1">
        <v>45965</v>
      </c>
      <c r="B502" t="s">
        <v>30</v>
      </c>
      <c r="C502" s="2">
        <v>8500</v>
      </c>
      <c r="D502" t="s">
        <v>89</v>
      </c>
      <c r="E502" s="16" t="s">
        <v>90</v>
      </c>
      <c r="G502" s="7"/>
      <c r="I502" s="7"/>
      <c r="K502" t="str">
        <f t="shared" si="21"/>
        <v/>
      </c>
      <c r="L502" t="str">
        <f t="shared" si="22"/>
        <v/>
      </c>
      <c r="M502" t="str">
        <f t="shared" si="23"/>
        <v>2025-11</v>
      </c>
    </row>
    <row r="503" spans="1:13" x14ac:dyDescent="0.25">
      <c r="A503" s="1">
        <v>45965</v>
      </c>
      <c r="B503" t="s">
        <v>34</v>
      </c>
      <c r="C503" s="2">
        <v>10500</v>
      </c>
      <c r="D503" t="s">
        <v>89</v>
      </c>
      <c r="E503" s="16" t="s">
        <v>90</v>
      </c>
      <c r="G503" s="7"/>
      <c r="I503" s="7"/>
      <c r="K503" t="str">
        <f t="shared" si="21"/>
        <v/>
      </c>
      <c r="L503" t="str">
        <f t="shared" si="22"/>
        <v/>
      </c>
      <c r="M503" t="str">
        <f t="shared" si="23"/>
        <v>2025-11</v>
      </c>
    </row>
    <row r="504" spans="1:13" x14ac:dyDescent="0.25">
      <c r="A504" s="1">
        <v>45965</v>
      </c>
      <c r="B504" t="s">
        <v>26</v>
      </c>
      <c r="C504" s="2">
        <v>1050</v>
      </c>
      <c r="D504" t="s">
        <v>89</v>
      </c>
      <c r="E504" s="16" t="s">
        <v>90</v>
      </c>
      <c r="G504" s="7"/>
      <c r="I504" s="7"/>
      <c r="K504" t="str">
        <f t="shared" si="21"/>
        <v/>
      </c>
      <c r="L504" t="str">
        <f t="shared" si="22"/>
        <v/>
      </c>
      <c r="M504" t="str">
        <f t="shared" si="23"/>
        <v>2025-11</v>
      </c>
    </row>
    <row r="505" spans="1:13" x14ac:dyDescent="0.25">
      <c r="A505" s="1">
        <v>45966</v>
      </c>
      <c r="B505" t="s">
        <v>92</v>
      </c>
      <c r="C505" s="2">
        <v>5400</v>
      </c>
      <c r="D505" t="s">
        <v>89</v>
      </c>
      <c r="E505" s="16" t="s">
        <v>90</v>
      </c>
      <c r="G505" s="7"/>
      <c r="I505" s="7"/>
      <c r="K505" t="str">
        <f t="shared" si="21"/>
        <v/>
      </c>
      <c r="L505" t="str">
        <f t="shared" si="22"/>
        <v/>
      </c>
      <c r="M505" t="str">
        <f t="shared" si="23"/>
        <v>2025-11</v>
      </c>
    </row>
    <row r="506" spans="1:13" x14ac:dyDescent="0.25">
      <c r="A506" s="1">
        <v>45966</v>
      </c>
      <c r="B506" t="s">
        <v>94</v>
      </c>
      <c r="C506" s="2">
        <v>1000</v>
      </c>
      <c r="D506" t="s">
        <v>89</v>
      </c>
      <c r="E506" s="16" t="s">
        <v>90</v>
      </c>
      <c r="G506" s="7"/>
      <c r="I506" s="7"/>
      <c r="K506" t="str">
        <f t="shared" si="21"/>
        <v/>
      </c>
      <c r="L506" t="str">
        <f t="shared" si="22"/>
        <v/>
      </c>
      <c r="M506" t="str">
        <f t="shared" si="23"/>
        <v>2025-11</v>
      </c>
    </row>
    <row r="507" spans="1:13" x14ac:dyDescent="0.25">
      <c r="A507" s="1">
        <v>45966</v>
      </c>
      <c r="B507" t="s">
        <v>31</v>
      </c>
      <c r="C507" s="2">
        <v>10000</v>
      </c>
      <c r="D507" t="s">
        <v>89</v>
      </c>
      <c r="E507" s="16" t="s">
        <v>90</v>
      </c>
      <c r="G507" s="7"/>
      <c r="I507" s="7"/>
      <c r="K507" t="str">
        <f t="shared" si="21"/>
        <v/>
      </c>
      <c r="L507" t="str">
        <f t="shared" si="22"/>
        <v/>
      </c>
      <c r="M507" t="str">
        <f t="shared" si="23"/>
        <v>2025-11</v>
      </c>
    </row>
    <row r="508" spans="1:13" x14ac:dyDescent="0.25">
      <c r="A508" s="1">
        <v>45966</v>
      </c>
      <c r="B508" t="s">
        <v>33</v>
      </c>
      <c r="C508" s="2">
        <v>10400</v>
      </c>
      <c r="D508" t="s">
        <v>89</v>
      </c>
      <c r="E508" s="16" t="s">
        <v>90</v>
      </c>
      <c r="G508" s="7"/>
      <c r="I508" s="7"/>
      <c r="K508" t="str">
        <f t="shared" si="21"/>
        <v/>
      </c>
      <c r="L508" t="str">
        <f t="shared" si="22"/>
        <v/>
      </c>
      <c r="M508" t="str">
        <f t="shared" si="23"/>
        <v>2025-11</v>
      </c>
    </row>
    <row r="509" spans="1:13" x14ac:dyDescent="0.25">
      <c r="A509" s="1">
        <v>45966</v>
      </c>
      <c r="B509" t="s">
        <v>8</v>
      </c>
      <c r="C509" s="2">
        <v>650</v>
      </c>
      <c r="D509" t="s">
        <v>89</v>
      </c>
      <c r="E509" s="16" t="s">
        <v>90</v>
      </c>
      <c r="G509" s="7"/>
      <c r="I509" s="7"/>
      <c r="K509" t="str">
        <f t="shared" si="21"/>
        <v/>
      </c>
      <c r="L509" t="str">
        <f t="shared" si="22"/>
        <v/>
      </c>
      <c r="M509" t="str">
        <f t="shared" si="23"/>
        <v>2025-11</v>
      </c>
    </row>
    <row r="510" spans="1:13" x14ac:dyDescent="0.25">
      <c r="A510" s="1">
        <v>45967</v>
      </c>
      <c r="B510" t="s">
        <v>92</v>
      </c>
      <c r="C510" s="2">
        <v>5400</v>
      </c>
      <c r="D510" t="s">
        <v>89</v>
      </c>
      <c r="E510" s="16" t="s">
        <v>90</v>
      </c>
      <c r="G510" s="7"/>
      <c r="I510" s="7"/>
      <c r="K510" t="str">
        <f t="shared" si="21"/>
        <v/>
      </c>
      <c r="L510" t="str">
        <f t="shared" si="22"/>
        <v/>
      </c>
      <c r="M510" t="str">
        <f t="shared" si="23"/>
        <v>2025-11</v>
      </c>
    </row>
    <row r="511" spans="1:13" x14ac:dyDescent="0.25">
      <c r="A511" s="1">
        <v>45967</v>
      </c>
      <c r="B511" t="s">
        <v>29</v>
      </c>
      <c r="C511" s="2">
        <v>3600</v>
      </c>
      <c r="D511" t="s">
        <v>89</v>
      </c>
      <c r="E511" s="16" t="s">
        <v>90</v>
      </c>
      <c r="G511" s="7"/>
      <c r="I511" s="7"/>
      <c r="K511" t="str">
        <f t="shared" si="21"/>
        <v/>
      </c>
      <c r="L511" t="str">
        <f t="shared" si="22"/>
        <v/>
      </c>
      <c r="M511" t="str">
        <f t="shared" si="23"/>
        <v>2025-11</v>
      </c>
    </row>
    <row r="512" spans="1:13" x14ac:dyDescent="0.25">
      <c r="A512" s="1">
        <v>45967</v>
      </c>
      <c r="B512" t="s">
        <v>28</v>
      </c>
      <c r="C512" s="2">
        <v>4500</v>
      </c>
      <c r="D512" t="s">
        <v>89</v>
      </c>
      <c r="E512" s="16" t="s">
        <v>90</v>
      </c>
      <c r="G512" s="7"/>
      <c r="I512" s="7"/>
      <c r="K512" t="str">
        <f t="shared" si="21"/>
        <v/>
      </c>
      <c r="L512" t="str">
        <f t="shared" si="22"/>
        <v/>
      </c>
      <c r="M512" t="str">
        <f t="shared" si="23"/>
        <v>2025-11</v>
      </c>
    </row>
    <row r="513" spans="1:13" x14ac:dyDescent="0.25">
      <c r="A513" s="1">
        <v>45967</v>
      </c>
      <c r="B513" t="s">
        <v>35</v>
      </c>
      <c r="C513" s="2">
        <v>10500</v>
      </c>
      <c r="D513" t="s">
        <v>89</v>
      </c>
      <c r="E513" s="16" t="s">
        <v>90</v>
      </c>
      <c r="G513" s="7"/>
      <c r="I513" s="7"/>
      <c r="K513" t="str">
        <f t="shared" si="21"/>
        <v/>
      </c>
      <c r="L513" t="str">
        <f t="shared" si="22"/>
        <v/>
      </c>
      <c r="M513" t="str">
        <f t="shared" si="23"/>
        <v>2025-11</v>
      </c>
    </row>
    <row r="514" spans="1:13" x14ac:dyDescent="0.25">
      <c r="A514" s="1">
        <v>45967</v>
      </c>
      <c r="B514" t="s">
        <v>91</v>
      </c>
      <c r="C514" s="2">
        <v>3000</v>
      </c>
      <c r="D514" t="s">
        <v>89</v>
      </c>
      <c r="E514" s="16" t="s">
        <v>90</v>
      </c>
      <c r="G514" s="7"/>
      <c r="I514" s="7"/>
      <c r="K514" t="str">
        <f t="shared" ref="K514:K577" si="24">IF(AND(L514&lt;&gt;"",C514&gt;0),L514/C514,"")</f>
        <v/>
      </c>
      <c r="L514" t="str">
        <f t="shared" ref="L514:L577" si="25">IF(AND(D514="FINALIZADO",H514&lt;&gt;""),VALUE(LEFT(H514,FIND("h",H514)-1))*60+VALUE(MID(H514,FIND("h",H514)+2,FIND("min",H514)-FIND("h",H514)-2)),"")</f>
        <v/>
      </c>
      <c r="M514" t="str">
        <f t="shared" ref="M514:M577" si="26">TEXT(YEAR(A514),"0000")&amp;"-"&amp;TEXT(MONTH(A514),"00")</f>
        <v>2025-11</v>
      </c>
    </row>
    <row r="515" spans="1:13" x14ac:dyDescent="0.25">
      <c r="A515" s="1">
        <v>45968</v>
      </c>
      <c r="B515" t="s">
        <v>29</v>
      </c>
      <c r="C515" s="2">
        <v>4500</v>
      </c>
      <c r="D515" t="s">
        <v>89</v>
      </c>
      <c r="E515" s="16" t="s">
        <v>90</v>
      </c>
      <c r="G515" s="7"/>
      <c r="I515" s="7"/>
      <c r="K515" t="str">
        <f t="shared" si="24"/>
        <v/>
      </c>
      <c r="L515" t="str">
        <f t="shared" si="25"/>
        <v/>
      </c>
      <c r="M515" t="str">
        <f t="shared" si="26"/>
        <v>2025-11</v>
      </c>
    </row>
    <row r="516" spans="1:13" x14ac:dyDescent="0.25">
      <c r="A516" s="1">
        <v>45968</v>
      </c>
      <c r="B516" t="s">
        <v>92</v>
      </c>
      <c r="C516" s="2">
        <v>8100</v>
      </c>
      <c r="D516" t="s">
        <v>89</v>
      </c>
      <c r="E516" s="16" t="s">
        <v>90</v>
      </c>
      <c r="G516" s="7"/>
      <c r="I516" s="7"/>
      <c r="K516" t="str">
        <f t="shared" si="24"/>
        <v/>
      </c>
      <c r="L516" t="str">
        <f t="shared" si="25"/>
        <v/>
      </c>
      <c r="M516" t="str">
        <f t="shared" si="26"/>
        <v>2025-11</v>
      </c>
    </row>
    <row r="517" spans="1:13" x14ac:dyDescent="0.25">
      <c r="A517" s="1">
        <v>45971</v>
      </c>
      <c r="B517" t="s">
        <v>92</v>
      </c>
      <c r="C517" s="2">
        <v>27000</v>
      </c>
      <c r="D517" t="s">
        <v>89</v>
      </c>
      <c r="E517" s="16" t="s">
        <v>90</v>
      </c>
      <c r="G517" s="7"/>
      <c r="I517" s="7"/>
      <c r="K517" t="str">
        <f t="shared" si="24"/>
        <v/>
      </c>
      <c r="L517" t="str">
        <f t="shared" si="25"/>
        <v/>
      </c>
      <c r="M517" t="str">
        <f t="shared" si="26"/>
        <v>2025-11</v>
      </c>
    </row>
    <row r="518" spans="1:13" x14ac:dyDescent="0.25">
      <c r="A518" s="1">
        <v>45971</v>
      </c>
      <c r="B518" t="s">
        <v>35</v>
      </c>
      <c r="C518" s="2">
        <v>10000</v>
      </c>
      <c r="D518" t="s">
        <v>89</v>
      </c>
      <c r="E518" s="16" t="s">
        <v>90</v>
      </c>
      <c r="G518" s="7"/>
      <c r="I518" s="7"/>
      <c r="K518" t="str">
        <f t="shared" si="24"/>
        <v/>
      </c>
      <c r="L518" t="str">
        <f t="shared" si="25"/>
        <v/>
      </c>
      <c r="M518" t="str">
        <f t="shared" si="26"/>
        <v>2025-11</v>
      </c>
    </row>
    <row r="519" spans="1:13" x14ac:dyDescent="0.25">
      <c r="A519" s="1">
        <v>45971</v>
      </c>
      <c r="B519" t="s">
        <v>28</v>
      </c>
      <c r="C519" s="2">
        <v>6000</v>
      </c>
      <c r="D519" t="s">
        <v>89</v>
      </c>
      <c r="E519" s="16" t="s">
        <v>90</v>
      </c>
      <c r="G519" s="7"/>
      <c r="I519" s="7"/>
      <c r="K519" t="str">
        <f t="shared" si="24"/>
        <v/>
      </c>
      <c r="L519" t="str">
        <f t="shared" si="25"/>
        <v/>
      </c>
      <c r="M519" t="str">
        <f t="shared" si="26"/>
        <v>2025-11</v>
      </c>
    </row>
    <row r="520" spans="1:13" x14ac:dyDescent="0.25">
      <c r="A520" s="1">
        <v>45971</v>
      </c>
      <c r="B520" t="s">
        <v>91</v>
      </c>
      <c r="C520" s="2">
        <v>19500</v>
      </c>
      <c r="D520" t="s">
        <v>89</v>
      </c>
      <c r="E520" s="16" t="s">
        <v>90</v>
      </c>
      <c r="G520" s="7"/>
      <c r="I520" s="7"/>
      <c r="K520" t="str">
        <f t="shared" si="24"/>
        <v/>
      </c>
      <c r="L520" t="str">
        <f t="shared" si="25"/>
        <v/>
      </c>
      <c r="M520" t="str">
        <f t="shared" si="26"/>
        <v>2025-11</v>
      </c>
    </row>
    <row r="521" spans="1:13" x14ac:dyDescent="0.25">
      <c r="A521" s="1">
        <v>45972</v>
      </c>
      <c r="B521" t="s">
        <v>34</v>
      </c>
      <c r="C521" s="2">
        <v>10000</v>
      </c>
      <c r="D521" t="s">
        <v>89</v>
      </c>
      <c r="E521" s="16" t="s">
        <v>90</v>
      </c>
      <c r="G521" s="7"/>
      <c r="I521" s="7"/>
      <c r="K521" t="str">
        <f t="shared" si="24"/>
        <v/>
      </c>
      <c r="L521" t="str">
        <f t="shared" si="25"/>
        <v/>
      </c>
      <c r="M521" t="str">
        <f t="shared" si="26"/>
        <v>2025-11</v>
      </c>
    </row>
    <row r="522" spans="1:13" x14ac:dyDescent="0.25">
      <c r="A522" s="1">
        <v>45972</v>
      </c>
      <c r="B522" t="s">
        <v>33</v>
      </c>
      <c r="C522" s="2">
        <v>10400</v>
      </c>
      <c r="D522" t="s">
        <v>89</v>
      </c>
      <c r="E522" s="16" t="s">
        <v>90</v>
      </c>
      <c r="G522" s="7"/>
      <c r="I522" s="7"/>
      <c r="K522" t="str">
        <f t="shared" si="24"/>
        <v/>
      </c>
      <c r="L522" t="str">
        <f t="shared" si="25"/>
        <v/>
      </c>
      <c r="M522" t="str">
        <f t="shared" si="26"/>
        <v>2025-11</v>
      </c>
    </row>
    <row r="523" spans="1:13" x14ac:dyDescent="0.25">
      <c r="A523" s="1">
        <v>45972</v>
      </c>
      <c r="B523" t="s">
        <v>92</v>
      </c>
      <c r="C523" s="2">
        <v>4050</v>
      </c>
      <c r="D523" t="s">
        <v>89</v>
      </c>
      <c r="E523" s="16" t="s">
        <v>90</v>
      </c>
      <c r="G523" s="7"/>
      <c r="I523" s="7"/>
      <c r="K523" t="str">
        <f t="shared" si="24"/>
        <v/>
      </c>
      <c r="L523" t="str">
        <f t="shared" si="25"/>
        <v/>
      </c>
      <c r="M523" t="str">
        <f t="shared" si="26"/>
        <v>2025-11</v>
      </c>
    </row>
    <row r="524" spans="1:13" x14ac:dyDescent="0.25">
      <c r="A524" s="1">
        <v>45972</v>
      </c>
      <c r="B524" t="s">
        <v>14</v>
      </c>
      <c r="C524" s="2">
        <v>650</v>
      </c>
      <c r="D524" t="s">
        <v>89</v>
      </c>
      <c r="E524" s="16" t="s">
        <v>90</v>
      </c>
      <c r="G524" s="7"/>
      <c r="I524" s="7"/>
      <c r="K524" t="str">
        <f t="shared" si="24"/>
        <v/>
      </c>
      <c r="L524" t="str">
        <f t="shared" si="25"/>
        <v/>
      </c>
      <c r="M524" t="str">
        <f t="shared" si="26"/>
        <v>2025-11</v>
      </c>
    </row>
    <row r="525" spans="1:13" x14ac:dyDescent="0.25">
      <c r="A525" s="1">
        <v>45972</v>
      </c>
      <c r="B525" t="s">
        <v>29</v>
      </c>
      <c r="C525" s="2">
        <v>4500</v>
      </c>
      <c r="D525" t="s">
        <v>89</v>
      </c>
      <c r="E525" s="16" t="s">
        <v>90</v>
      </c>
      <c r="G525" s="7"/>
      <c r="I525" s="7"/>
      <c r="K525" t="str">
        <f t="shared" si="24"/>
        <v/>
      </c>
      <c r="L525" t="str">
        <f t="shared" si="25"/>
        <v/>
      </c>
      <c r="M525" t="str">
        <f t="shared" si="26"/>
        <v>2025-11</v>
      </c>
    </row>
    <row r="526" spans="1:13" x14ac:dyDescent="0.25">
      <c r="A526" s="1">
        <v>45973</v>
      </c>
      <c r="B526" t="s">
        <v>27</v>
      </c>
      <c r="C526" s="2">
        <v>4200</v>
      </c>
      <c r="D526" t="s">
        <v>89</v>
      </c>
      <c r="E526" s="16" t="s">
        <v>90</v>
      </c>
      <c r="G526" s="7"/>
      <c r="I526" s="7"/>
      <c r="K526" t="str">
        <f t="shared" si="24"/>
        <v/>
      </c>
      <c r="L526" t="str">
        <f t="shared" si="25"/>
        <v/>
      </c>
      <c r="M526" t="str">
        <f t="shared" si="26"/>
        <v>2025-11</v>
      </c>
    </row>
    <row r="527" spans="1:13" x14ac:dyDescent="0.25">
      <c r="A527" s="1">
        <v>45973</v>
      </c>
      <c r="B527" t="s">
        <v>25</v>
      </c>
      <c r="C527" s="2">
        <v>1000</v>
      </c>
      <c r="D527" t="s">
        <v>89</v>
      </c>
      <c r="E527" s="16" t="s">
        <v>90</v>
      </c>
      <c r="G527" s="7"/>
      <c r="I527" s="7"/>
      <c r="K527" t="str">
        <f t="shared" si="24"/>
        <v/>
      </c>
      <c r="L527" t="str">
        <f t="shared" si="25"/>
        <v/>
      </c>
      <c r="M527" t="str">
        <f t="shared" si="26"/>
        <v>2025-11</v>
      </c>
    </row>
    <row r="528" spans="1:13" x14ac:dyDescent="0.25">
      <c r="A528" s="1">
        <v>45973</v>
      </c>
      <c r="B528" t="s">
        <v>17</v>
      </c>
      <c r="C528" s="2">
        <v>400</v>
      </c>
      <c r="D528" t="s">
        <v>89</v>
      </c>
      <c r="E528" s="16" t="s">
        <v>90</v>
      </c>
      <c r="G528" s="7"/>
      <c r="I528" s="7"/>
      <c r="K528" t="str">
        <f t="shared" si="24"/>
        <v/>
      </c>
      <c r="L528" t="str">
        <f t="shared" si="25"/>
        <v/>
      </c>
      <c r="M528" t="str">
        <f t="shared" si="26"/>
        <v>2025-11</v>
      </c>
    </row>
    <row r="529" spans="1:13" x14ac:dyDescent="0.25">
      <c r="A529" s="1">
        <v>45973</v>
      </c>
      <c r="B529" t="s">
        <v>92</v>
      </c>
      <c r="C529" s="2">
        <v>8100</v>
      </c>
      <c r="D529" t="s">
        <v>89</v>
      </c>
      <c r="E529" s="16" t="s">
        <v>90</v>
      </c>
      <c r="G529" s="7"/>
      <c r="I529" s="7"/>
      <c r="K529" t="str">
        <f t="shared" si="24"/>
        <v/>
      </c>
      <c r="L529" t="str">
        <f t="shared" si="25"/>
        <v/>
      </c>
      <c r="M529" t="str">
        <f t="shared" si="26"/>
        <v>2025-11</v>
      </c>
    </row>
    <row r="530" spans="1:13" x14ac:dyDescent="0.25">
      <c r="A530" s="1">
        <v>45973</v>
      </c>
      <c r="B530" t="s">
        <v>32</v>
      </c>
      <c r="C530" s="2">
        <v>12000</v>
      </c>
      <c r="D530" t="s">
        <v>89</v>
      </c>
      <c r="E530" s="16" t="s">
        <v>90</v>
      </c>
      <c r="G530" s="7"/>
      <c r="I530" s="7"/>
      <c r="K530" t="str">
        <f t="shared" si="24"/>
        <v/>
      </c>
      <c r="L530" t="str">
        <f t="shared" si="25"/>
        <v/>
      </c>
      <c r="M530" t="str">
        <f t="shared" si="26"/>
        <v>2025-11</v>
      </c>
    </row>
    <row r="531" spans="1:13" x14ac:dyDescent="0.25">
      <c r="A531" s="1">
        <v>45973</v>
      </c>
      <c r="B531" t="s">
        <v>91</v>
      </c>
      <c r="C531" s="2">
        <v>3000</v>
      </c>
      <c r="D531" t="s">
        <v>89</v>
      </c>
      <c r="E531" s="16" t="s">
        <v>90</v>
      </c>
      <c r="G531" s="7"/>
      <c r="I531" s="7"/>
      <c r="K531" t="str">
        <f t="shared" si="24"/>
        <v/>
      </c>
      <c r="L531" t="str">
        <f t="shared" si="25"/>
        <v/>
      </c>
      <c r="M531" t="str">
        <f t="shared" si="26"/>
        <v>2025-11</v>
      </c>
    </row>
    <row r="532" spans="1:13" x14ac:dyDescent="0.25">
      <c r="A532" s="1">
        <v>45974</v>
      </c>
      <c r="B532" t="s">
        <v>27</v>
      </c>
      <c r="C532" s="2">
        <v>1050</v>
      </c>
      <c r="D532" t="s">
        <v>89</v>
      </c>
      <c r="E532" s="16" t="s">
        <v>90</v>
      </c>
      <c r="G532" s="7"/>
      <c r="I532" s="7"/>
      <c r="K532" t="str">
        <f t="shared" si="24"/>
        <v/>
      </c>
      <c r="L532" t="str">
        <f t="shared" si="25"/>
        <v/>
      </c>
      <c r="M532" t="str">
        <f t="shared" si="26"/>
        <v>2025-11</v>
      </c>
    </row>
    <row r="533" spans="1:13" x14ac:dyDescent="0.25">
      <c r="A533" s="1">
        <v>45974</v>
      </c>
      <c r="B533" t="s">
        <v>15</v>
      </c>
      <c r="C533" s="2">
        <v>2000</v>
      </c>
      <c r="D533" t="s">
        <v>89</v>
      </c>
      <c r="E533" s="16" t="s">
        <v>90</v>
      </c>
      <c r="G533" s="7"/>
      <c r="I533" s="7"/>
      <c r="K533" t="str">
        <f t="shared" si="24"/>
        <v/>
      </c>
      <c r="L533" t="str">
        <f t="shared" si="25"/>
        <v/>
      </c>
      <c r="M533" t="str">
        <f t="shared" si="26"/>
        <v>2025-11</v>
      </c>
    </row>
    <row r="534" spans="1:13" x14ac:dyDescent="0.25">
      <c r="A534" s="1">
        <v>45974</v>
      </c>
      <c r="B534" t="s">
        <v>25</v>
      </c>
      <c r="C534" s="2">
        <v>1000</v>
      </c>
      <c r="D534" t="s">
        <v>89</v>
      </c>
      <c r="E534" s="16" t="s">
        <v>90</v>
      </c>
      <c r="G534" s="7"/>
      <c r="I534" s="7"/>
      <c r="K534" t="str">
        <f t="shared" si="24"/>
        <v/>
      </c>
      <c r="L534" t="str">
        <f t="shared" si="25"/>
        <v/>
      </c>
      <c r="M534" t="str">
        <f t="shared" si="26"/>
        <v>2025-11</v>
      </c>
    </row>
    <row r="535" spans="1:13" x14ac:dyDescent="0.25">
      <c r="A535" s="1">
        <v>45974</v>
      </c>
      <c r="B535" t="s">
        <v>12</v>
      </c>
      <c r="C535" s="2">
        <v>1000</v>
      </c>
      <c r="D535" t="s">
        <v>89</v>
      </c>
      <c r="E535" s="16" t="s">
        <v>90</v>
      </c>
      <c r="G535" s="7"/>
      <c r="I535" s="7"/>
      <c r="K535" t="str">
        <f t="shared" si="24"/>
        <v/>
      </c>
      <c r="L535" t="str">
        <f t="shared" si="25"/>
        <v/>
      </c>
      <c r="M535" t="str">
        <f t="shared" si="26"/>
        <v>2025-11</v>
      </c>
    </row>
    <row r="536" spans="1:13" x14ac:dyDescent="0.25">
      <c r="A536" s="1">
        <v>45974</v>
      </c>
      <c r="B536" t="s">
        <v>100</v>
      </c>
      <c r="C536" s="2">
        <v>3000</v>
      </c>
      <c r="D536" t="s">
        <v>89</v>
      </c>
      <c r="E536" s="16" t="s">
        <v>90</v>
      </c>
      <c r="G536" s="7"/>
      <c r="I536" s="7"/>
      <c r="K536" t="str">
        <f t="shared" si="24"/>
        <v/>
      </c>
      <c r="L536" t="str">
        <f t="shared" si="25"/>
        <v/>
      </c>
      <c r="M536" t="str">
        <f t="shared" si="26"/>
        <v>2025-11</v>
      </c>
    </row>
    <row r="537" spans="1:13" x14ac:dyDescent="0.25">
      <c r="A537" s="1">
        <v>45974</v>
      </c>
      <c r="B537" t="s">
        <v>17</v>
      </c>
      <c r="C537" s="2">
        <v>800</v>
      </c>
      <c r="D537" t="s">
        <v>89</v>
      </c>
      <c r="E537" s="16" t="s">
        <v>90</v>
      </c>
      <c r="G537" s="7"/>
      <c r="I537" s="7"/>
      <c r="K537" t="str">
        <f t="shared" si="24"/>
        <v/>
      </c>
      <c r="L537" t="str">
        <f t="shared" si="25"/>
        <v/>
      </c>
      <c r="M537" t="str">
        <f t="shared" si="26"/>
        <v>2025-11</v>
      </c>
    </row>
    <row r="538" spans="1:13" x14ac:dyDescent="0.25">
      <c r="A538" s="1">
        <v>45974</v>
      </c>
      <c r="B538" t="s">
        <v>99</v>
      </c>
      <c r="C538" s="2">
        <v>8800</v>
      </c>
      <c r="D538" t="s">
        <v>89</v>
      </c>
      <c r="E538" s="16" t="s">
        <v>90</v>
      </c>
      <c r="G538" s="7"/>
      <c r="I538" s="7"/>
      <c r="K538" t="str">
        <f t="shared" si="24"/>
        <v/>
      </c>
      <c r="L538" t="str">
        <f t="shared" si="25"/>
        <v/>
      </c>
      <c r="M538" t="str">
        <f t="shared" si="26"/>
        <v>2025-11</v>
      </c>
    </row>
    <row r="539" spans="1:13" x14ac:dyDescent="0.25">
      <c r="A539" s="1">
        <v>45974</v>
      </c>
      <c r="B539" t="s">
        <v>31</v>
      </c>
      <c r="C539" s="2">
        <v>8000</v>
      </c>
      <c r="D539" t="s">
        <v>89</v>
      </c>
      <c r="E539" s="16" t="s">
        <v>90</v>
      </c>
      <c r="G539" s="7"/>
      <c r="I539" s="7"/>
      <c r="K539" t="str">
        <f t="shared" si="24"/>
        <v/>
      </c>
      <c r="L539" t="str">
        <f t="shared" si="25"/>
        <v/>
      </c>
      <c r="M539" t="str">
        <f t="shared" si="26"/>
        <v>2025-11</v>
      </c>
    </row>
    <row r="540" spans="1:13" x14ac:dyDescent="0.25">
      <c r="A540" s="1">
        <v>45974</v>
      </c>
      <c r="B540" t="s">
        <v>35</v>
      </c>
      <c r="C540" s="2">
        <v>9200</v>
      </c>
      <c r="D540" t="s">
        <v>89</v>
      </c>
      <c r="E540" s="16" t="s">
        <v>90</v>
      </c>
      <c r="G540" s="7"/>
      <c r="I540" s="7"/>
      <c r="K540" t="str">
        <f t="shared" si="24"/>
        <v/>
      </c>
      <c r="L540" t="str">
        <f t="shared" si="25"/>
        <v/>
      </c>
      <c r="M540" t="str">
        <f t="shared" si="26"/>
        <v>2025-11</v>
      </c>
    </row>
    <row r="541" spans="1:13" x14ac:dyDescent="0.25">
      <c r="A541" s="1">
        <v>45974</v>
      </c>
      <c r="B541" t="s">
        <v>91</v>
      </c>
      <c r="C541" s="2">
        <v>6000</v>
      </c>
      <c r="D541" t="s">
        <v>89</v>
      </c>
      <c r="E541" s="16" t="s">
        <v>90</v>
      </c>
      <c r="G541" s="7"/>
      <c r="I541" s="7"/>
      <c r="K541" t="str">
        <f t="shared" si="24"/>
        <v/>
      </c>
      <c r="L541" t="str">
        <f t="shared" si="25"/>
        <v/>
      </c>
      <c r="M541" t="str">
        <f t="shared" si="26"/>
        <v>2025-11</v>
      </c>
    </row>
    <row r="542" spans="1:13" x14ac:dyDescent="0.25">
      <c r="A542" s="1">
        <v>45978</v>
      </c>
      <c r="B542" t="s">
        <v>34</v>
      </c>
      <c r="C542" s="2">
        <v>11000</v>
      </c>
      <c r="D542" t="s">
        <v>89</v>
      </c>
      <c r="E542" s="16" t="s">
        <v>90</v>
      </c>
      <c r="G542" s="7"/>
      <c r="I542" s="7"/>
      <c r="K542" t="str">
        <f t="shared" si="24"/>
        <v/>
      </c>
      <c r="L542" t="str">
        <f t="shared" si="25"/>
        <v/>
      </c>
      <c r="M542" t="str">
        <f t="shared" si="26"/>
        <v>2025-11</v>
      </c>
    </row>
    <row r="543" spans="1:13" x14ac:dyDescent="0.25">
      <c r="A543" s="1">
        <v>45978</v>
      </c>
      <c r="B543" t="s">
        <v>28</v>
      </c>
      <c r="C543" s="2">
        <v>15000</v>
      </c>
      <c r="D543" t="s">
        <v>89</v>
      </c>
      <c r="E543" s="16" t="s">
        <v>90</v>
      </c>
      <c r="G543" s="7"/>
      <c r="I543" s="7"/>
      <c r="K543" t="str">
        <f t="shared" si="24"/>
        <v/>
      </c>
      <c r="L543" t="str">
        <f t="shared" si="25"/>
        <v/>
      </c>
      <c r="M543" t="str">
        <f t="shared" si="26"/>
        <v>2025-11</v>
      </c>
    </row>
    <row r="544" spans="1:13" x14ac:dyDescent="0.25">
      <c r="A544" s="1">
        <v>45978</v>
      </c>
      <c r="B544" t="s">
        <v>92</v>
      </c>
      <c r="C544" s="2">
        <v>1350</v>
      </c>
      <c r="D544" t="s">
        <v>89</v>
      </c>
      <c r="E544" s="16" t="s">
        <v>90</v>
      </c>
      <c r="G544" s="7"/>
      <c r="I544" s="7"/>
      <c r="K544" t="str">
        <f t="shared" si="24"/>
        <v/>
      </c>
      <c r="L544" t="str">
        <f t="shared" si="25"/>
        <v/>
      </c>
      <c r="M544" t="str">
        <f t="shared" si="26"/>
        <v>2025-11</v>
      </c>
    </row>
    <row r="545" spans="1:13" x14ac:dyDescent="0.25">
      <c r="A545" s="1">
        <v>45978</v>
      </c>
      <c r="B545" t="s">
        <v>92</v>
      </c>
      <c r="C545" s="2">
        <v>1350</v>
      </c>
      <c r="D545" t="s">
        <v>89</v>
      </c>
      <c r="E545" s="16" t="s">
        <v>90</v>
      </c>
      <c r="G545" s="7"/>
      <c r="I545" s="7"/>
      <c r="K545" t="str">
        <f t="shared" si="24"/>
        <v/>
      </c>
      <c r="L545" t="str">
        <f t="shared" si="25"/>
        <v/>
      </c>
      <c r="M545" t="str">
        <f t="shared" si="26"/>
        <v>2025-11</v>
      </c>
    </row>
    <row r="546" spans="1:13" x14ac:dyDescent="0.25">
      <c r="A546" s="1">
        <v>45978</v>
      </c>
      <c r="B546" t="s">
        <v>92</v>
      </c>
      <c r="C546" s="2">
        <v>5400</v>
      </c>
      <c r="D546" t="s">
        <v>89</v>
      </c>
      <c r="E546" s="16" t="s">
        <v>90</v>
      </c>
      <c r="G546" s="7"/>
      <c r="I546" s="7"/>
      <c r="K546" t="str">
        <f t="shared" si="24"/>
        <v/>
      </c>
      <c r="L546" t="str">
        <f t="shared" si="25"/>
        <v/>
      </c>
      <c r="M546" t="str">
        <f t="shared" si="26"/>
        <v>2025-11</v>
      </c>
    </row>
    <row r="547" spans="1:13" x14ac:dyDescent="0.25">
      <c r="A547" s="1">
        <v>45978</v>
      </c>
      <c r="B547" t="s">
        <v>92</v>
      </c>
      <c r="C547" s="2">
        <v>1350</v>
      </c>
      <c r="D547" t="s">
        <v>89</v>
      </c>
      <c r="E547" s="16" t="s">
        <v>90</v>
      </c>
      <c r="G547" s="7"/>
      <c r="I547" s="7"/>
      <c r="K547" t="str">
        <f t="shared" si="24"/>
        <v/>
      </c>
      <c r="L547" t="str">
        <f t="shared" si="25"/>
        <v/>
      </c>
      <c r="M547" t="str">
        <f t="shared" si="26"/>
        <v>2025-11</v>
      </c>
    </row>
    <row r="548" spans="1:13" x14ac:dyDescent="0.25">
      <c r="A548" s="1">
        <v>45978</v>
      </c>
      <c r="B548" t="s">
        <v>107</v>
      </c>
      <c r="C548" s="2">
        <v>16500</v>
      </c>
      <c r="D548" t="s">
        <v>89</v>
      </c>
      <c r="E548" s="16" t="s">
        <v>90</v>
      </c>
      <c r="G548" s="7"/>
      <c r="I548" s="7"/>
      <c r="K548" t="str">
        <f t="shared" si="24"/>
        <v/>
      </c>
      <c r="L548" t="str">
        <f t="shared" si="25"/>
        <v/>
      </c>
      <c r="M548" t="str">
        <f t="shared" si="26"/>
        <v>2025-11</v>
      </c>
    </row>
    <row r="549" spans="1:13" x14ac:dyDescent="0.25">
      <c r="A549" s="1">
        <v>45979</v>
      </c>
      <c r="B549" t="s">
        <v>92</v>
      </c>
      <c r="C549" s="2">
        <v>1350</v>
      </c>
      <c r="D549" t="s">
        <v>89</v>
      </c>
      <c r="E549" s="16" t="s">
        <v>90</v>
      </c>
      <c r="G549" s="7"/>
      <c r="I549" s="7"/>
      <c r="K549" t="str">
        <f t="shared" si="24"/>
        <v/>
      </c>
      <c r="L549" t="str">
        <f t="shared" si="25"/>
        <v/>
      </c>
      <c r="M549" t="str">
        <f t="shared" si="26"/>
        <v>2025-11</v>
      </c>
    </row>
    <row r="550" spans="1:13" x14ac:dyDescent="0.25">
      <c r="A550" s="1">
        <v>45979</v>
      </c>
      <c r="B550" t="s">
        <v>91</v>
      </c>
      <c r="C550" s="2">
        <v>1550</v>
      </c>
      <c r="D550" t="s">
        <v>89</v>
      </c>
      <c r="E550" s="16" t="s">
        <v>90</v>
      </c>
      <c r="G550" s="7"/>
      <c r="I550" s="7"/>
      <c r="K550" t="str">
        <f t="shared" si="24"/>
        <v/>
      </c>
      <c r="L550" t="str">
        <f t="shared" si="25"/>
        <v/>
      </c>
      <c r="M550" t="str">
        <f t="shared" si="26"/>
        <v>2025-11</v>
      </c>
    </row>
    <row r="551" spans="1:13" x14ac:dyDescent="0.25">
      <c r="A551" s="1">
        <v>45979</v>
      </c>
      <c r="B551" t="s">
        <v>92</v>
      </c>
      <c r="C551" s="2">
        <v>1350</v>
      </c>
      <c r="D551" t="s">
        <v>89</v>
      </c>
      <c r="E551" s="16" t="s">
        <v>90</v>
      </c>
      <c r="G551" s="7"/>
      <c r="I551" s="7"/>
      <c r="K551" t="str">
        <f t="shared" si="24"/>
        <v/>
      </c>
      <c r="L551" t="str">
        <f t="shared" si="25"/>
        <v/>
      </c>
      <c r="M551" t="str">
        <f t="shared" si="26"/>
        <v>2025-11</v>
      </c>
    </row>
    <row r="552" spans="1:13" x14ac:dyDescent="0.25">
      <c r="A552" s="1">
        <v>45979</v>
      </c>
      <c r="B552" t="s">
        <v>92</v>
      </c>
      <c r="C552" s="2">
        <v>1300</v>
      </c>
      <c r="D552" t="s">
        <v>89</v>
      </c>
      <c r="E552" s="16" t="s">
        <v>90</v>
      </c>
      <c r="G552" s="7"/>
      <c r="I552" s="7"/>
      <c r="K552" t="str">
        <f t="shared" si="24"/>
        <v/>
      </c>
      <c r="L552" t="str">
        <f t="shared" si="25"/>
        <v/>
      </c>
      <c r="M552" t="str">
        <f t="shared" si="26"/>
        <v>2025-11</v>
      </c>
    </row>
    <row r="553" spans="1:13" x14ac:dyDescent="0.25">
      <c r="A553" s="1">
        <v>45979</v>
      </c>
      <c r="B553" t="s">
        <v>100</v>
      </c>
      <c r="C553" s="2">
        <v>1000</v>
      </c>
      <c r="D553" t="s">
        <v>89</v>
      </c>
      <c r="E553" s="16" t="s">
        <v>90</v>
      </c>
      <c r="G553" s="7"/>
      <c r="I553" s="7"/>
      <c r="K553" t="str">
        <f t="shared" si="24"/>
        <v/>
      </c>
      <c r="L553" t="str">
        <f t="shared" si="25"/>
        <v/>
      </c>
      <c r="M553" t="str">
        <f t="shared" si="26"/>
        <v>2025-11</v>
      </c>
    </row>
    <row r="554" spans="1:13" x14ac:dyDescent="0.25">
      <c r="A554" s="1">
        <v>45979</v>
      </c>
      <c r="B554" t="s">
        <v>92</v>
      </c>
      <c r="C554" s="2">
        <v>1350</v>
      </c>
      <c r="D554" t="s">
        <v>89</v>
      </c>
      <c r="E554" s="16" t="s">
        <v>90</v>
      </c>
      <c r="G554" s="7"/>
      <c r="I554" s="7"/>
      <c r="K554" t="str">
        <f t="shared" si="24"/>
        <v/>
      </c>
      <c r="L554" t="str">
        <f t="shared" si="25"/>
        <v/>
      </c>
      <c r="M554" t="str">
        <f t="shared" si="26"/>
        <v>2025-11</v>
      </c>
    </row>
    <row r="555" spans="1:13" x14ac:dyDescent="0.25">
      <c r="A555" s="1">
        <v>45979</v>
      </c>
      <c r="B555" t="s">
        <v>92</v>
      </c>
      <c r="C555" s="2">
        <v>5400</v>
      </c>
      <c r="D555" t="s">
        <v>89</v>
      </c>
      <c r="E555" s="16" t="s">
        <v>90</v>
      </c>
      <c r="G555" s="7"/>
      <c r="I555" s="7"/>
      <c r="K555" t="str">
        <f t="shared" si="24"/>
        <v/>
      </c>
      <c r="L555" t="str">
        <f t="shared" si="25"/>
        <v/>
      </c>
      <c r="M555" t="str">
        <f t="shared" si="26"/>
        <v>2025-11</v>
      </c>
    </row>
    <row r="556" spans="1:13" x14ac:dyDescent="0.25">
      <c r="A556" s="1">
        <v>45979</v>
      </c>
      <c r="B556" t="s">
        <v>96</v>
      </c>
      <c r="C556" s="2">
        <v>1250</v>
      </c>
      <c r="D556" t="s">
        <v>89</v>
      </c>
      <c r="E556" s="16" t="s">
        <v>90</v>
      </c>
      <c r="G556" s="7"/>
      <c r="I556" s="7"/>
      <c r="K556" t="str">
        <f t="shared" si="24"/>
        <v/>
      </c>
      <c r="L556" t="str">
        <f t="shared" si="25"/>
        <v/>
      </c>
      <c r="M556" t="str">
        <f t="shared" si="26"/>
        <v>2025-11</v>
      </c>
    </row>
    <row r="557" spans="1:13" x14ac:dyDescent="0.25">
      <c r="A557" s="1">
        <v>45979</v>
      </c>
      <c r="B557" t="s">
        <v>33</v>
      </c>
      <c r="C557" s="2">
        <v>10400</v>
      </c>
      <c r="D557" t="s">
        <v>89</v>
      </c>
      <c r="E557" s="16" t="s">
        <v>90</v>
      </c>
      <c r="G557" s="7"/>
      <c r="I557" s="7"/>
      <c r="K557" t="str">
        <f t="shared" si="24"/>
        <v/>
      </c>
      <c r="L557" t="str">
        <f t="shared" si="25"/>
        <v/>
      </c>
      <c r="M557" t="str">
        <f t="shared" si="26"/>
        <v>2025-11</v>
      </c>
    </row>
    <row r="558" spans="1:13" x14ac:dyDescent="0.25">
      <c r="A558" s="1">
        <v>45979</v>
      </c>
      <c r="B558" t="s">
        <v>92</v>
      </c>
      <c r="C558" s="2">
        <v>2700</v>
      </c>
      <c r="D558" t="s">
        <v>89</v>
      </c>
      <c r="E558" s="16" t="s">
        <v>90</v>
      </c>
      <c r="G558" s="7"/>
      <c r="I558" s="7"/>
      <c r="K558" t="str">
        <f t="shared" si="24"/>
        <v/>
      </c>
      <c r="L558" t="str">
        <f t="shared" si="25"/>
        <v/>
      </c>
      <c r="M558" t="str">
        <f t="shared" si="26"/>
        <v>2025-11</v>
      </c>
    </row>
    <row r="559" spans="1:13" x14ac:dyDescent="0.25">
      <c r="A559" s="1">
        <v>45979</v>
      </c>
      <c r="B559" t="s">
        <v>22</v>
      </c>
      <c r="C559" s="2">
        <v>1000</v>
      </c>
      <c r="D559" t="s">
        <v>89</v>
      </c>
      <c r="E559" s="16" t="s">
        <v>90</v>
      </c>
      <c r="G559" s="7"/>
      <c r="I559" s="7"/>
      <c r="K559" t="str">
        <f t="shared" si="24"/>
        <v/>
      </c>
      <c r="L559" t="str">
        <f t="shared" si="25"/>
        <v/>
      </c>
      <c r="M559" t="str">
        <f t="shared" si="26"/>
        <v>2025-11</v>
      </c>
    </row>
    <row r="560" spans="1:13" x14ac:dyDescent="0.25">
      <c r="A560" s="1">
        <v>45979</v>
      </c>
      <c r="B560" t="s">
        <v>92</v>
      </c>
      <c r="C560" s="2">
        <v>2700</v>
      </c>
      <c r="D560" t="s">
        <v>89</v>
      </c>
      <c r="E560" s="16" t="s">
        <v>90</v>
      </c>
      <c r="G560" s="7"/>
      <c r="I560" s="7"/>
      <c r="K560" t="str">
        <f t="shared" si="24"/>
        <v/>
      </c>
      <c r="L560" t="str">
        <f t="shared" si="25"/>
        <v/>
      </c>
      <c r="M560" t="str">
        <f t="shared" si="26"/>
        <v>2025-11</v>
      </c>
    </row>
    <row r="561" spans="1:13" x14ac:dyDescent="0.25">
      <c r="A561" s="1">
        <v>45979</v>
      </c>
      <c r="B561" t="s">
        <v>27</v>
      </c>
      <c r="C561" s="2">
        <v>1050</v>
      </c>
      <c r="D561" t="s">
        <v>89</v>
      </c>
      <c r="E561" s="16" t="s">
        <v>90</v>
      </c>
      <c r="G561" s="7"/>
      <c r="I561" s="7"/>
      <c r="K561" t="str">
        <f t="shared" si="24"/>
        <v/>
      </c>
      <c r="L561" t="str">
        <f t="shared" si="25"/>
        <v/>
      </c>
      <c r="M561" t="str">
        <f t="shared" si="26"/>
        <v>2025-11</v>
      </c>
    </row>
    <row r="562" spans="1:13" x14ac:dyDescent="0.25">
      <c r="A562" s="1">
        <v>45980</v>
      </c>
      <c r="B562" t="s">
        <v>35</v>
      </c>
      <c r="C562" s="2">
        <v>10000</v>
      </c>
      <c r="D562" t="s">
        <v>89</v>
      </c>
      <c r="E562" s="16" t="s">
        <v>90</v>
      </c>
      <c r="G562" s="7"/>
      <c r="I562" s="7"/>
      <c r="K562" t="str">
        <f t="shared" si="24"/>
        <v/>
      </c>
      <c r="L562" t="str">
        <f t="shared" si="25"/>
        <v/>
      </c>
      <c r="M562" t="str">
        <f t="shared" si="26"/>
        <v>2025-11</v>
      </c>
    </row>
    <row r="563" spans="1:13" x14ac:dyDescent="0.25">
      <c r="A563" s="1">
        <v>45982</v>
      </c>
      <c r="B563" t="s">
        <v>35</v>
      </c>
      <c r="C563" s="2">
        <v>8000</v>
      </c>
      <c r="D563" t="s">
        <v>89</v>
      </c>
      <c r="E563" s="16" t="s">
        <v>90</v>
      </c>
      <c r="G563" s="7"/>
      <c r="I563" s="7"/>
      <c r="K563" t="str">
        <f t="shared" si="24"/>
        <v/>
      </c>
      <c r="L563" t="str">
        <f t="shared" si="25"/>
        <v/>
      </c>
      <c r="M563" t="str">
        <f t="shared" si="26"/>
        <v>2025-11</v>
      </c>
    </row>
    <row r="564" spans="1:13" x14ac:dyDescent="0.25">
      <c r="A564" s="1">
        <v>45982</v>
      </c>
      <c r="B564" t="s">
        <v>34</v>
      </c>
      <c r="C564" s="2">
        <v>10000</v>
      </c>
      <c r="D564" t="s">
        <v>89</v>
      </c>
      <c r="E564" s="16" t="s">
        <v>90</v>
      </c>
      <c r="G564" s="7"/>
      <c r="I564" s="7"/>
      <c r="K564" t="str">
        <f t="shared" si="24"/>
        <v/>
      </c>
      <c r="L564" t="str">
        <f t="shared" si="25"/>
        <v/>
      </c>
      <c r="M564" t="str">
        <f t="shared" si="26"/>
        <v>2025-11</v>
      </c>
    </row>
    <row r="565" spans="1:13" x14ac:dyDescent="0.25">
      <c r="A565" s="1">
        <v>45982</v>
      </c>
      <c r="B565" t="s">
        <v>34</v>
      </c>
      <c r="C565" s="2">
        <v>10000</v>
      </c>
      <c r="D565" t="s">
        <v>89</v>
      </c>
      <c r="E565" s="16" t="s">
        <v>90</v>
      </c>
      <c r="G565" s="7"/>
      <c r="I565" s="7"/>
      <c r="K565" t="str">
        <f t="shared" si="24"/>
        <v/>
      </c>
      <c r="L565" t="str">
        <f t="shared" si="25"/>
        <v/>
      </c>
      <c r="M565" t="str">
        <f t="shared" si="26"/>
        <v>2025-11</v>
      </c>
    </row>
    <row r="566" spans="1:13" x14ac:dyDescent="0.25">
      <c r="A566" s="1">
        <v>45982</v>
      </c>
      <c r="B566" t="s">
        <v>35</v>
      </c>
      <c r="C566" s="2">
        <v>10000</v>
      </c>
      <c r="D566" t="s">
        <v>89</v>
      </c>
      <c r="E566" s="16" t="s">
        <v>90</v>
      </c>
      <c r="G566" s="7"/>
      <c r="I566" s="7"/>
      <c r="K566" t="str">
        <f t="shared" si="24"/>
        <v/>
      </c>
      <c r="L566" t="str">
        <f t="shared" si="25"/>
        <v/>
      </c>
      <c r="M566" t="str">
        <f t="shared" si="26"/>
        <v>2025-11</v>
      </c>
    </row>
    <row r="567" spans="1:13" x14ac:dyDescent="0.25">
      <c r="A567" s="1">
        <v>45982</v>
      </c>
      <c r="B567" t="s">
        <v>5</v>
      </c>
      <c r="C567" s="2">
        <v>400</v>
      </c>
      <c r="D567" t="s">
        <v>89</v>
      </c>
      <c r="E567" s="16" t="s">
        <v>90</v>
      </c>
      <c r="G567" s="7"/>
      <c r="I567" s="7"/>
      <c r="K567" t="str">
        <f t="shared" si="24"/>
        <v/>
      </c>
      <c r="L567" t="str">
        <f t="shared" si="25"/>
        <v/>
      </c>
      <c r="M567" t="str">
        <f t="shared" si="26"/>
        <v>2025-11</v>
      </c>
    </row>
    <row r="568" spans="1:13" x14ac:dyDescent="0.25">
      <c r="A568" s="1">
        <v>45982</v>
      </c>
      <c r="B568" t="s">
        <v>92</v>
      </c>
      <c r="C568" s="2">
        <v>1300</v>
      </c>
      <c r="D568" t="s">
        <v>89</v>
      </c>
      <c r="E568" s="16" t="s">
        <v>90</v>
      </c>
      <c r="G568" s="7"/>
      <c r="I568" s="7"/>
      <c r="K568" t="str">
        <f t="shared" si="24"/>
        <v/>
      </c>
      <c r="L568" t="str">
        <f t="shared" si="25"/>
        <v/>
      </c>
      <c r="M568" t="str">
        <f t="shared" si="26"/>
        <v>2025-11</v>
      </c>
    </row>
    <row r="569" spans="1:13" x14ac:dyDescent="0.25">
      <c r="A569" s="1">
        <v>45982</v>
      </c>
      <c r="B569" t="s">
        <v>92</v>
      </c>
      <c r="C569" s="2">
        <v>1350</v>
      </c>
      <c r="D569" t="s">
        <v>89</v>
      </c>
      <c r="E569" s="16" t="s">
        <v>90</v>
      </c>
      <c r="G569" s="7"/>
      <c r="I569" s="7"/>
      <c r="K569" t="str">
        <f t="shared" si="24"/>
        <v/>
      </c>
      <c r="L569" t="str">
        <f t="shared" si="25"/>
        <v/>
      </c>
      <c r="M569" t="str">
        <f t="shared" si="26"/>
        <v>2025-11</v>
      </c>
    </row>
    <row r="570" spans="1:13" x14ac:dyDescent="0.25">
      <c r="A570" s="1">
        <v>45982</v>
      </c>
      <c r="B570" t="s">
        <v>91</v>
      </c>
      <c r="C570" s="2">
        <v>3000</v>
      </c>
      <c r="D570" t="s">
        <v>89</v>
      </c>
      <c r="E570" s="16" t="s">
        <v>90</v>
      </c>
      <c r="G570" s="7"/>
      <c r="I570" s="7"/>
      <c r="K570" t="str">
        <f t="shared" si="24"/>
        <v/>
      </c>
      <c r="L570" t="str">
        <f t="shared" si="25"/>
        <v/>
      </c>
      <c r="M570" t="str">
        <f t="shared" si="26"/>
        <v>2025-11</v>
      </c>
    </row>
    <row r="571" spans="1:13" x14ac:dyDescent="0.25">
      <c r="A571" s="1">
        <v>45985</v>
      </c>
      <c r="B571" t="s">
        <v>102</v>
      </c>
      <c r="C571" s="2">
        <v>1000</v>
      </c>
      <c r="D571" t="s">
        <v>89</v>
      </c>
      <c r="E571" s="16" t="s">
        <v>90</v>
      </c>
      <c r="G571" s="7"/>
      <c r="I571" s="7"/>
      <c r="K571" t="str">
        <f t="shared" si="24"/>
        <v/>
      </c>
      <c r="L571" t="str">
        <f t="shared" si="25"/>
        <v/>
      </c>
      <c r="M571" t="str">
        <f t="shared" si="26"/>
        <v>2025-11</v>
      </c>
    </row>
    <row r="572" spans="1:13" x14ac:dyDescent="0.25">
      <c r="A572" s="1">
        <v>45985</v>
      </c>
      <c r="B572" t="s">
        <v>95</v>
      </c>
      <c r="C572" s="2">
        <v>20800</v>
      </c>
      <c r="D572" t="s">
        <v>89</v>
      </c>
      <c r="E572" s="16" t="s">
        <v>90</v>
      </c>
      <c r="G572" s="7"/>
      <c r="I572" s="7"/>
      <c r="K572" t="str">
        <f t="shared" si="24"/>
        <v/>
      </c>
      <c r="L572" t="str">
        <f t="shared" si="25"/>
        <v/>
      </c>
      <c r="M572" t="str">
        <f t="shared" si="26"/>
        <v>2025-11</v>
      </c>
    </row>
    <row r="573" spans="1:13" x14ac:dyDescent="0.25">
      <c r="A573" s="1">
        <v>45985</v>
      </c>
      <c r="B573" t="s">
        <v>92</v>
      </c>
      <c r="C573" s="2">
        <v>1350</v>
      </c>
      <c r="D573" t="s">
        <v>89</v>
      </c>
      <c r="E573" s="16" t="s">
        <v>90</v>
      </c>
      <c r="G573" s="7"/>
      <c r="I573" s="7"/>
      <c r="K573" t="str">
        <f t="shared" si="24"/>
        <v/>
      </c>
      <c r="L573" t="str">
        <f t="shared" si="25"/>
        <v/>
      </c>
      <c r="M573" t="str">
        <f t="shared" si="26"/>
        <v>2025-11</v>
      </c>
    </row>
    <row r="574" spans="1:13" x14ac:dyDescent="0.25">
      <c r="A574" s="1">
        <v>45985</v>
      </c>
      <c r="B574" t="s">
        <v>99</v>
      </c>
      <c r="C574" s="2">
        <v>1100</v>
      </c>
      <c r="D574" t="s">
        <v>89</v>
      </c>
      <c r="E574" s="16" t="s">
        <v>90</v>
      </c>
      <c r="G574" s="7"/>
      <c r="I574" s="7"/>
      <c r="K574" t="str">
        <f t="shared" si="24"/>
        <v/>
      </c>
      <c r="L574" t="str">
        <f t="shared" si="25"/>
        <v/>
      </c>
      <c r="M574" t="str">
        <f t="shared" si="26"/>
        <v>2025-11</v>
      </c>
    </row>
    <row r="575" spans="1:13" x14ac:dyDescent="0.25">
      <c r="A575" s="1">
        <v>45985</v>
      </c>
      <c r="B575" t="s">
        <v>30</v>
      </c>
      <c r="C575" s="2">
        <v>8500</v>
      </c>
      <c r="D575" t="s">
        <v>89</v>
      </c>
      <c r="E575" s="16" t="s">
        <v>90</v>
      </c>
      <c r="G575" s="7"/>
      <c r="I575" s="7"/>
      <c r="K575" t="str">
        <f t="shared" si="24"/>
        <v/>
      </c>
      <c r="L575" t="str">
        <f t="shared" si="25"/>
        <v/>
      </c>
      <c r="M575" t="str">
        <f t="shared" si="26"/>
        <v>2025-11</v>
      </c>
    </row>
    <row r="576" spans="1:13" x14ac:dyDescent="0.25">
      <c r="A576" s="1">
        <v>45985</v>
      </c>
      <c r="B576" t="s">
        <v>31</v>
      </c>
      <c r="C576" s="2">
        <v>10000</v>
      </c>
      <c r="D576" t="s">
        <v>89</v>
      </c>
      <c r="E576" s="16" t="s">
        <v>90</v>
      </c>
      <c r="G576" s="7"/>
      <c r="I576" s="7"/>
      <c r="K576" t="str">
        <f t="shared" si="24"/>
        <v/>
      </c>
      <c r="L576" t="str">
        <f t="shared" si="25"/>
        <v/>
      </c>
      <c r="M576" t="str">
        <f t="shared" si="26"/>
        <v>2025-11</v>
      </c>
    </row>
    <row r="577" spans="1:13" x14ac:dyDescent="0.25">
      <c r="A577" s="1">
        <v>45986</v>
      </c>
      <c r="B577" t="s">
        <v>96</v>
      </c>
      <c r="C577" s="2">
        <v>1250</v>
      </c>
      <c r="D577" t="s">
        <v>89</v>
      </c>
      <c r="E577" s="16" t="s">
        <v>90</v>
      </c>
      <c r="G577" s="7"/>
      <c r="I577" s="7"/>
      <c r="K577" t="str">
        <f t="shared" si="24"/>
        <v/>
      </c>
      <c r="L577" t="str">
        <f t="shared" si="25"/>
        <v/>
      </c>
      <c r="M577" t="str">
        <f t="shared" si="26"/>
        <v>2025-11</v>
      </c>
    </row>
    <row r="578" spans="1:13" x14ac:dyDescent="0.25">
      <c r="A578" s="1">
        <v>45986</v>
      </c>
      <c r="B578" t="s">
        <v>92</v>
      </c>
      <c r="C578" s="2">
        <v>4050</v>
      </c>
      <c r="D578" t="s">
        <v>89</v>
      </c>
      <c r="E578" s="16" t="s">
        <v>90</v>
      </c>
      <c r="G578" s="7"/>
      <c r="I578" s="7"/>
      <c r="K578" t="str">
        <f t="shared" ref="K578:K641" si="27">IF(AND(L578&lt;&gt;"",C578&gt;0),L578/C578,"")</f>
        <v/>
      </c>
      <c r="L578" t="str">
        <f t="shared" ref="L578:L641" si="28">IF(AND(D578="FINALIZADO",H578&lt;&gt;""),VALUE(LEFT(H578,FIND("h",H578)-1))*60+VALUE(MID(H578,FIND("h",H578)+2,FIND("min",H578)-FIND("h",H578)-2)),"")</f>
        <v/>
      </c>
      <c r="M578" t="str">
        <f t="shared" ref="M578:M641" si="29">TEXT(YEAR(A578),"0000")&amp;"-"&amp;TEXT(MONTH(A578),"00")</f>
        <v>2025-11</v>
      </c>
    </row>
    <row r="579" spans="1:13" x14ac:dyDescent="0.25">
      <c r="A579" s="1">
        <v>45986</v>
      </c>
      <c r="B579" t="s">
        <v>92</v>
      </c>
      <c r="C579" s="2">
        <v>1350</v>
      </c>
      <c r="D579" t="s">
        <v>89</v>
      </c>
      <c r="E579" s="16" t="s">
        <v>90</v>
      </c>
      <c r="G579" s="7"/>
      <c r="I579" s="7"/>
      <c r="K579" t="str">
        <f t="shared" si="27"/>
        <v/>
      </c>
      <c r="L579" t="str">
        <f t="shared" si="28"/>
        <v/>
      </c>
      <c r="M579" t="str">
        <f t="shared" si="29"/>
        <v>2025-11</v>
      </c>
    </row>
    <row r="580" spans="1:13" x14ac:dyDescent="0.25">
      <c r="A580" s="1">
        <v>45986</v>
      </c>
      <c r="B580" t="s">
        <v>92</v>
      </c>
      <c r="C580" s="2">
        <v>10800</v>
      </c>
      <c r="D580" t="s">
        <v>89</v>
      </c>
      <c r="E580" s="16" t="s">
        <v>90</v>
      </c>
      <c r="G580" s="7"/>
      <c r="I580" s="7"/>
      <c r="K580" t="str">
        <f t="shared" si="27"/>
        <v/>
      </c>
      <c r="L580" t="str">
        <f t="shared" si="28"/>
        <v/>
      </c>
      <c r="M580" t="str">
        <f t="shared" si="29"/>
        <v>2025-11</v>
      </c>
    </row>
    <row r="581" spans="1:13" x14ac:dyDescent="0.25">
      <c r="A581" s="1">
        <v>45986</v>
      </c>
      <c r="B581" t="s">
        <v>92</v>
      </c>
      <c r="C581" s="2">
        <v>5400</v>
      </c>
      <c r="D581" t="s">
        <v>89</v>
      </c>
      <c r="E581" s="16" t="s">
        <v>90</v>
      </c>
      <c r="G581" s="7"/>
      <c r="I581" s="7"/>
      <c r="K581" t="str">
        <f t="shared" si="27"/>
        <v/>
      </c>
      <c r="L581" t="str">
        <f t="shared" si="28"/>
        <v/>
      </c>
      <c r="M581" t="str">
        <f t="shared" si="29"/>
        <v>2025-11</v>
      </c>
    </row>
    <row r="582" spans="1:13" x14ac:dyDescent="0.25">
      <c r="A582" s="1">
        <v>45986</v>
      </c>
      <c r="B582" t="s">
        <v>29</v>
      </c>
      <c r="C582" s="2">
        <v>3600</v>
      </c>
      <c r="D582" t="s">
        <v>89</v>
      </c>
      <c r="E582" s="16" t="s">
        <v>90</v>
      </c>
      <c r="G582" s="7"/>
      <c r="I582" s="7"/>
      <c r="K582" t="str">
        <f t="shared" si="27"/>
        <v/>
      </c>
      <c r="L582" t="str">
        <f t="shared" si="28"/>
        <v/>
      </c>
      <c r="M582" t="str">
        <f t="shared" si="29"/>
        <v>2025-11</v>
      </c>
    </row>
    <row r="583" spans="1:13" x14ac:dyDescent="0.25">
      <c r="A583" s="1">
        <v>45986</v>
      </c>
      <c r="B583" t="s">
        <v>29</v>
      </c>
      <c r="C583" s="2">
        <v>900</v>
      </c>
      <c r="D583" t="s">
        <v>89</v>
      </c>
      <c r="E583" s="16" t="s">
        <v>90</v>
      </c>
      <c r="G583" s="7"/>
      <c r="I583" s="7"/>
      <c r="K583" t="str">
        <f t="shared" si="27"/>
        <v/>
      </c>
      <c r="L583" t="str">
        <f t="shared" si="28"/>
        <v/>
      </c>
      <c r="M583" t="str">
        <f t="shared" si="29"/>
        <v>2025-11</v>
      </c>
    </row>
    <row r="584" spans="1:13" x14ac:dyDescent="0.25">
      <c r="A584" s="1">
        <v>45986</v>
      </c>
      <c r="B584" t="s">
        <v>91</v>
      </c>
      <c r="C584" s="2">
        <v>1500</v>
      </c>
      <c r="D584" t="s">
        <v>89</v>
      </c>
      <c r="E584" s="16" t="s">
        <v>90</v>
      </c>
      <c r="G584" s="7"/>
      <c r="I584" s="7"/>
      <c r="K584" t="str">
        <f t="shared" si="27"/>
        <v/>
      </c>
      <c r="L584" t="str">
        <f t="shared" si="28"/>
        <v/>
      </c>
      <c r="M584" t="str">
        <f t="shared" si="29"/>
        <v>2025-11</v>
      </c>
    </row>
    <row r="585" spans="1:13" x14ac:dyDescent="0.25">
      <c r="A585" s="1">
        <v>45986</v>
      </c>
      <c r="B585" t="s">
        <v>91</v>
      </c>
      <c r="C585" s="2">
        <v>3000</v>
      </c>
      <c r="D585" t="s">
        <v>89</v>
      </c>
      <c r="E585" s="16" t="s">
        <v>90</v>
      </c>
      <c r="G585" s="7"/>
      <c r="I585" s="7"/>
      <c r="K585" t="str">
        <f t="shared" si="27"/>
        <v/>
      </c>
      <c r="L585" t="str">
        <f t="shared" si="28"/>
        <v/>
      </c>
      <c r="M585" t="str">
        <f t="shared" si="29"/>
        <v>2025-11</v>
      </c>
    </row>
    <row r="586" spans="1:13" x14ac:dyDescent="0.25">
      <c r="A586" s="1">
        <v>45986</v>
      </c>
      <c r="B586" t="s">
        <v>91</v>
      </c>
      <c r="C586" s="2">
        <v>7500</v>
      </c>
      <c r="D586" t="s">
        <v>89</v>
      </c>
      <c r="E586" s="16" t="s">
        <v>90</v>
      </c>
      <c r="G586" s="7"/>
      <c r="I586" s="7"/>
      <c r="K586" t="str">
        <f t="shared" si="27"/>
        <v/>
      </c>
      <c r="L586" t="str">
        <f t="shared" si="28"/>
        <v/>
      </c>
      <c r="M586" t="str">
        <f t="shared" si="29"/>
        <v>2025-11</v>
      </c>
    </row>
    <row r="587" spans="1:13" x14ac:dyDescent="0.25">
      <c r="A587" s="1">
        <v>45986</v>
      </c>
      <c r="B587" t="s">
        <v>17</v>
      </c>
      <c r="C587" s="2">
        <v>800</v>
      </c>
      <c r="D587" t="s">
        <v>89</v>
      </c>
      <c r="E587" s="16" t="s">
        <v>90</v>
      </c>
      <c r="G587" s="7"/>
      <c r="I587" s="7"/>
      <c r="K587" t="str">
        <f t="shared" si="27"/>
        <v/>
      </c>
      <c r="L587" t="str">
        <f t="shared" si="28"/>
        <v/>
      </c>
      <c r="M587" t="str">
        <f t="shared" si="29"/>
        <v>2025-11</v>
      </c>
    </row>
    <row r="588" spans="1:13" x14ac:dyDescent="0.25">
      <c r="A588" s="1">
        <v>45986</v>
      </c>
      <c r="B588" t="s">
        <v>29</v>
      </c>
      <c r="C588" s="2">
        <v>900</v>
      </c>
      <c r="D588" t="s">
        <v>89</v>
      </c>
      <c r="E588" s="16" t="s">
        <v>90</v>
      </c>
      <c r="G588" s="7"/>
      <c r="I588" s="7"/>
      <c r="K588" t="str">
        <f t="shared" si="27"/>
        <v/>
      </c>
      <c r="L588" t="str">
        <f t="shared" si="28"/>
        <v/>
      </c>
      <c r="M588" t="str">
        <f t="shared" si="29"/>
        <v>2025-11</v>
      </c>
    </row>
    <row r="589" spans="1:13" x14ac:dyDescent="0.25">
      <c r="A589" s="1">
        <v>45987</v>
      </c>
      <c r="B589" t="s">
        <v>35</v>
      </c>
      <c r="C589" s="2">
        <v>10000</v>
      </c>
      <c r="D589" t="s">
        <v>89</v>
      </c>
      <c r="E589" s="16" t="s">
        <v>90</v>
      </c>
      <c r="G589" s="7"/>
      <c r="I589" s="7"/>
      <c r="K589" t="str">
        <f t="shared" si="27"/>
        <v/>
      </c>
      <c r="L589" t="str">
        <f t="shared" si="28"/>
        <v/>
      </c>
      <c r="M589" t="str">
        <f t="shared" si="29"/>
        <v>2025-11</v>
      </c>
    </row>
    <row r="590" spans="1:13" x14ac:dyDescent="0.25">
      <c r="A590" s="1">
        <v>45987</v>
      </c>
      <c r="B590" t="s">
        <v>32</v>
      </c>
      <c r="C590" s="2">
        <v>1100</v>
      </c>
      <c r="D590" t="s">
        <v>89</v>
      </c>
      <c r="E590" s="16" t="s">
        <v>90</v>
      </c>
      <c r="G590" s="7"/>
      <c r="I590" s="7"/>
      <c r="K590" t="str">
        <f t="shared" si="27"/>
        <v/>
      </c>
      <c r="L590" t="str">
        <f t="shared" si="28"/>
        <v/>
      </c>
      <c r="M590" t="str">
        <f t="shared" si="29"/>
        <v>2025-11</v>
      </c>
    </row>
    <row r="591" spans="1:13" x14ac:dyDescent="0.25">
      <c r="A591" s="1">
        <v>45987</v>
      </c>
      <c r="B591" t="s">
        <v>92</v>
      </c>
      <c r="C591" s="2">
        <v>2700</v>
      </c>
      <c r="D591" t="s">
        <v>89</v>
      </c>
      <c r="E591" s="16" t="s">
        <v>90</v>
      </c>
      <c r="G591" s="7"/>
      <c r="I591" s="7"/>
      <c r="K591" t="str">
        <f t="shared" si="27"/>
        <v/>
      </c>
      <c r="L591" t="str">
        <f t="shared" si="28"/>
        <v/>
      </c>
      <c r="M591" t="str">
        <f t="shared" si="29"/>
        <v>2025-11</v>
      </c>
    </row>
    <row r="592" spans="1:13" x14ac:dyDescent="0.25">
      <c r="A592" s="1">
        <v>45987</v>
      </c>
      <c r="B592" t="s">
        <v>8</v>
      </c>
      <c r="C592" s="2">
        <v>650</v>
      </c>
      <c r="D592" t="s">
        <v>89</v>
      </c>
      <c r="E592" s="16" t="s">
        <v>90</v>
      </c>
      <c r="G592" s="7"/>
      <c r="I592" s="7"/>
      <c r="K592" t="str">
        <f t="shared" si="27"/>
        <v/>
      </c>
      <c r="L592" t="str">
        <f t="shared" si="28"/>
        <v/>
      </c>
      <c r="M592" t="str">
        <f t="shared" si="29"/>
        <v>2025-11</v>
      </c>
    </row>
    <row r="593" spans="1:13" x14ac:dyDescent="0.25">
      <c r="A593" s="1">
        <v>45987</v>
      </c>
      <c r="B593" t="s">
        <v>29</v>
      </c>
      <c r="C593" s="2">
        <v>1800</v>
      </c>
      <c r="D593" t="s">
        <v>89</v>
      </c>
      <c r="E593" s="16" t="s">
        <v>90</v>
      </c>
      <c r="G593" s="7"/>
      <c r="I593" s="7"/>
      <c r="K593" t="str">
        <f t="shared" si="27"/>
        <v/>
      </c>
      <c r="L593" t="str">
        <f t="shared" si="28"/>
        <v/>
      </c>
      <c r="M593" t="str">
        <f t="shared" si="29"/>
        <v>2025-11</v>
      </c>
    </row>
    <row r="594" spans="1:13" x14ac:dyDescent="0.25">
      <c r="A594" s="1">
        <v>45987</v>
      </c>
      <c r="B594" t="s">
        <v>31</v>
      </c>
      <c r="C594" s="2">
        <v>10000</v>
      </c>
      <c r="D594" t="s">
        <v>89</v>
      </c>
      <c r="E594" s="16" t="s">
        <v>90</v>
      </c>
      <c r="G594" s="7"/>
      <c r="I594" s="7"/>
      <c r="K594" t="str">
        <f t="shared" si="27"/>
        <v/>
      </c>
      <c r="L594" t="str">
        <f t="shared" si="28"/>
        <v/>
      </c>
      <c r="M594" t="str">
        <f t="shared" si="29"/>
        <v>2025-11</v>
      </c>
    </row>
    <row r="595" spans="1:13" x14ac:dyDescent="0.25">
      <c r="A595" s="1">
        <v>45993</v>
      </c>
      <c r="B595" t="s">
        <v>99</v>
      </c>
      <c r="C595" s="2">
        <v>2200</v>
      </c>
      <c r="D595" t="s">
        <v>89</v>
      </c>
      <c r="E595" s="16" t="s">
        <v>90</v>
      </c>
      <c r="G595" s="7"/>
      <c r="I595" s="7"/>
      <c r="K595" t="str">
        <f t="shared" si="27"/>
        <v/>
      </c>
      <c r="L595" t="str">
        <f t="shared" si="28"/>
        <v/>
      </c>
      <c r="M595" t="str">
        <f t="shared" si="29"/>
        <v>2025-12</v>
      </c>
    </row>
    <row r="596" spans="1:13" x14ac:dyDescent="0.25">
      <c r="A596" s="1">
        <v>45993</v>
      </c>
      <c r="B596" t="s">
        <v>35</v>
      </c>
      <c r="C596" s="2">
        <v>10000</v>
      </c>
      <c r="D596" t="s">
        <v>89</v>
      </c>
      <c r="E596" s="16" t="s">
        <v>90</v>
      </c>
      <c r="G596" s="7"/>
      <c r="I596" s="7"/>
      <c r="K596" t="str">
        <f t="shared" si="27"/>
        <v/>
      </c>
      <c r="L596" t="str">
        <f t="shared" si="28"/>
        <v/>
      </c>
      <c r="M596" t="str">
        <f t="shared" si="29"/>
        <v>2025-12</v>
      </c>
    </row>
    <row r="597" spans="1:13" x14ac:dyDescent="0.25">
      <c r="A597" s="1">
        <v>45993</v>
      </c>
      <c r="B597" t="s">
        <v>34</v>
      </c>
      <c r="C597" s="2">
        <v>16000</v>
      </c>
      <c r="D597" t="s">
        <v>89</v>
      </c>
      <c r="E597" s="16" t="s">
        <v>90</v>
      </c>
      <c r="G597" s="7"/>
      <c r="I597" s="7"/>
      <c r="K597" t="str">
        <f t="shared" si="27"/>
        <v/>
      </c>
      <c r="L597" t="str">
        <f t="shared" si="28"/>
        <v/>
      </c>
      <c r="M597" t="str">
        <f t="shared" si="29"/>
        <v>2025-12</v>
      </c>
    </row>
    <row r="598" spans="1:13" x14ac:dyDescent="0.25">
      <c r="A598" s="1">
        <v>45993</v>
      </c>
      <c r="B598" t="s">
        <v>92</v>
      </c>
      <c r="C598" s="2">
        <v>1350</v>
      </c>
      <c r="D598" t="s">
        <v>89</v>
      </c>
      <c r="E598" s="16" t="s">
        <v>90</v>
      </c>
      <c r="G598" s="7"/>
      <c r="I598" s="7"/>
      <c r="K598" t="str">
        <f t="shared" si="27"/>
        <v/>
      </c>
      <c r="L598" t="str">
        <f t="shared" si="28"/>
        <v/>
      </c>
      <c r="M598" t="str">
        <f t="shared" si="29"/>
        <v>2025-12</v>
      </c>
    </row>
    <row r="599" spans="1:13" x14ac:dyDescent="0.25">
      <c r="A599" s="1">
        <v>45993</v>
      </c>
      <c r="B599" t="s">
        <v>29</v>
      </c>
      <c r="C599" s="2">
        <v>900</v>
      </c>
      <c r="D599" t="s">
        <v>89</v>
      </c>
      <c r="E599" s="16" t="s">
        <v>90</v>
      </c>
      <c r="G599" s="7"/>
      <c r="I599" s="7"/>
      <c r="K599" t="str">
        <f t="shared" si="27"/>
        <v/>
      </c>
      <c r="L599" t="str">
        <f t="shared" si="28"/>
        <v/>
      </c>
      <c r="M599" t="str">
        <f t="shared" si="29"/>
        <v>2025-12</v>
      </c>
    </row>
    <row r="600" spans="1:13" x14ac:dyDescent="0.25">
      <c r="A600" s="1">
        <v>45993</v>
      </c>
      <c r="B600" t="s">
        <v>99</v>
      </c>
      <c r="C600" s="2">
        <v>3300</v>
      </c>
      <c r="D600" t="s">
        <v>89</v>
      </c>
      <c r="E600" s="16" t="s">
        <v>90</v>
      </c>
      <c r="G600" s="7"/>
      <c r="I600" s="7"/>
      <c r="K600" t="str">
        <f t="shared" si="27"/>
        <v/>
      </c>
      <c r="L600" t="str">
        <f t="shared" si="28"/>
        <v/>
      </c>
      <c r="M600" t="str">
        <f t="shared" si="29"/>
        <v>2025-12</v>
      </c>
    </row>
    <row r="601" spans="1:13" x14ac:dyDescent="0.25">
      <c r="A601" s="1">
        <v>45993</v>
      </c>
      <c r="B601" t="s">
        <v>92</v>
      </c>
      <c r="C601" s="2">
        <v>8100</v>
      </c>
      <c r="D601" t="s">
        <v>89</v>
      </c>
      <c r="E601" s="16" t="s">
        <v>90</v>
      </c>
      <c r="G601" s="7"/>
      <c r="I601" s="7"/>
      <c r="K601" t="str">
        <f t="shared" si="27"/>
        <v/>
      </c>
      <c r="L601" t="str">
        <f t="shared" si="28"/>
        <v/>
      </c>
      <c r="M601" t="str">
        <f t="shared" si="29"/>
        <v>2025-12</v>
      </c>
    </row>
    <row r="602" spans="1:13" x14ac:dyDescent="0.25">
      <c r="A602" s="1">
        <v>45993</v>
      </c>
      <c r="B602" t="s">
        <v>14</v>
      </c>
      <c r="C602" s="2">
        <v>660</v>
      </c>
      <c r="D602" t="s">
        <v>89</v>
      </c>
      <c r="E602" s="16" t="s">
        <v>90</v>
      </c>
      <c r="G602" s="7"/>
      <c r="I602" s="7"/>
      <c r="K602" t="str">
        <f t="shared" si="27"/>
        <v/>
      </c>
      <c r="L602" t="str">
        <f t="shared" si="28"/>
        <v/>
      </c>
      <c r="M602" t="str">
        <f t="shared" si="29"/>
        <v>2025-12</v>
      </c>
    </row>
    <row r="603" spans="1:13" x14ac:dyDescent="0.25">
      <c r="A603" s="1">
        <v>45993</v>
      </c>
      <c r="B603" t="s">
        <v>27</v>
      </c>
      <c r="C603" s="2">
        <v>1050</v>
      </c>
      <c r="D603" t="s">
        <v>89</v>
      </c>
      <c r="E603" s="16" t="s">
        <v>90</v>
      </c>
      <c r="G603" s="7"/>
      <c r="I603" s="7"/>
      <c r="K603" t="str">
        <f t="shared" si="27"/>
        <v/>
      </c>
      <c r="L603" t="str">
        <f t="shared" si="28"/>
        <v/>
      </c>
      <c r="M603" t="str">
        <f t="shared" si="29"/>
        <v>2025-12</v>
      </c>
    </row>
    <row r="604" spans="1:13" x14ac:dyDescent="0.25">
      <c r="A604" s="1">
        <v>45994</v>
      </c>
      <c r="B604" t="s">
        <v>35</v>
      </c>
      <c r="C604" s="2">
        <v>10000</v>
      </c>
      <c r="D604" t="s">
        <v>89</v>
      </c>
      <c r="E604" s="16" t="s">
        <v>90</v>
      </c>
      <c r="G604" s="7"/>
      <c r="I604" s="7"/>
      <c r="K604" t="str">
        <f t="shared" si="27"/>
        <v/>
      </c>
      <c r="L604" t="str">
        <f t="shared" si="28"/>
        <v/>
      </c>
      <c r="M604" t="str">
        <f t="shared" si="29"/>
        <v>2025-12</v>
      </c>
    </row>
    <row r="605" spans="1:13" x14ac:dyDescent="0.25">
      <c r="A605" s="1">
        <v>45994</v>
      </c>
      <c r="B605" t="s">
        <v>33</v>
      </c>
      <c r="C605" s="2">
        <v>10400</v>
      </c>
      <c r="D605" t="s">
        <v>89</v>
      </c>
      <c r="E605" s="16" t="s">
        <v>90</v>
      </c>
      <c r="G605" s="7"/>
      <c r="I605" s="7"/>
      <c r="K605" t="str">
        <f t="shared" si="27"/>
        <v/>
      </c>
      <c r="L605" t="str">
        <f t="shared" si="28"/>
        <v/>
      </c>
      <c r="M605" t="str">
        <f t="shared" si="29"/>
        <v>2025-12</v>
      </c>
    </row>
    <row r="606" spans="1:13" x14ac:dyDescent="0.25">
      <c r="A606" s="1">
        <v>45994</v>
      </c>
      <c r="B606" t="s">
        <v>94</v>
      </c>
      <c r="C606" s="2">
        <v>1000</v>
      </c>
      <c r="D606" t="s">
        <v>89</v>
      </c>
      <c r="E606" s="16" t="s">
        <v>90</v>
      </c>
      <c r="G606" s="7"/>
      <c r="I606" s="7"/>
      <c r="K606" t="str">
        <f t="shared" si="27"/>
        <v/>
      </c>
      <c r="L606" t="str">
        <f t="shared" si="28"/>
        <v/>
      </c>
      <c r="M606" t="str">
        <f t="shared" si="29"/>
        <v>2025-12</v>
      </c>
    </row>
    <row r="607" spans="1:13" x14ac:dyDescent="0.25">
      <c r="A607" s="1">
        <v>45994</v>
      </c>
      <c r="B607" t="s">
        <v>92</v>
      </c>
      <c r="C607" s="2">
        <v>5400</v>
      </c>
      <c r="D607" t="s">
        <v>89</v>
      </c>
      <c r="E607" s="16" t="s">
        <v>90</v>
      </c>
      <c r="G607" s="7"/>
      <c r="I607" s="7"/>
      <c r="K607" t="str">
        <f t="shared" si="27"/>
        <v/>
      </c>
      <c r="L607" t="str">
        <f t="shared" si="28"/>
        <v/>
      </c>
      <c r="M607" t="str">
        <f t="shared" si="29"/>
        <v>2025-12</v>
      </c>
    </row>
    <row r="608" spans="1:13" x14ac:dyDescent="0.25">
      <c r="A608" s="1">
        <v>45994</v>
      </c>
      <c r="B608" t="s">
        <v>92</v>
      </c>
      <c r="C608" s="2">
        <v>1350</v>
      </c>
      <c r="D608" t="s">
        <v>89</v>
      </c>
      <c r="E608" s="16" t="s">
        <v>90</v>
      </c>
      <c r="G608" s="7"/>
      <c r="I608" s="7"/>
      <c r="K608" t="str">
        <f t="shared" si="27"/>
        <v/>
      </c>
      <c r="L608" t="str">
        <f t="shared" si="28"/>
        <v/>
      </c>
      <c r="M608" t="str">
        <f t="shared" si="29"/>
        <v>2025-12</v>
      </c>
    </row>
    <row r="609" spans="1:13" x14ac:dyDescent="0.25">
      <c r="A609" s="1">
        <v>45994</v>
      </c>
      <c r="B609" t="s">
        <v>92</v>
      </c>
      <c r="C609" s="2">
        <v>1350</v>
      </c>
      <c r="D609" t="s">
        <v>89</v>
      </c>
      <c r="E609" s="16" t="s">
        <v>90</v>
      </c>
      <c r="G609" s="7"/>
      <c r="I609" s="7"/>
      <c r="K609" t="str">
        <f t="shared" si="27"/>
        <v/>
      </c>
      <c r="L609" t="str">
        <f t="shared" si="28"/>
        <v/>
      </c>
      <c r="M609" t="str">
        <f t="shared" si="29"/>
        <v>2025-12</v>
      </c>
    </row>
    <row r="610" spans="1:13" x14ac:dyDescent="0.25">
      <c r="A610" s="1">
        <v>45994</v>
      </c>
      <c r="B610" t="s">
        <v>27</v>
      </c>
      <c r="C610" s="2">
        <v>1050</v>
      </c>
      <c r="D610" t="s">
        <v>89</v>
      </c>
      <c r="E610" s="16" t="s">
        <v>90</v>
      </c>
      <c r="G610" s="7"/>
      <c r="I610" s="7"/>
      <c r="K610" t="str">
        <f t="shared" si="27"/>
        <v/>
      </c>
      <c r="L610" t="str">
        <f t="shared" si="28"/>
        <v/>
      </c>
      <c r="M610" t="str">
        <f t="shared" si="29"/>
        <v>2025-12</v>
      </c>
    </row>
    <row r="611" spans="1:13" x14ac:dyDescent="0.25">
      <c r="A611" s="1">
        <v>45994</v>
      </c>
      <c r="B611" t="s">
        <v>92</v>
      </c>
      <c r="C611" s="2">
        <v>9450</v>
      </c>
      <c r="D611" t="s">
        <v>89</v>
      </c>
      <c r="E611" s="16" t="s">
        <v>90</v>
      </c>
      <c r="G611" s="7"/>
      <c r="I611" s="7"/>
      <c r="K611" t="str">
        <f t="shared" si="27"/>
        <v/>
      </c>
      <c r="L611" t="str">
        <f t="shared" si="28"/>
        <v/>
      </c>
      <c r="M611" t="str">
        <f t="shared" si="29"/>
        <v>2025-12</v>
      </c>
    </row>
    <row r="612" spans="1:13" x14ac:dyDescent="0.25">
      <c r="A612" s="1">
        <v>45995</v>
      </c>
      <c r="B612" t="s">
        <v>91</v>
      </c>
      <c r="C612" s="2">
        <v>3000</v>
      </c>
      <c r="D612" t="s">
        <v>89</v>
      </c>
      <c r="E612" s="16" t="s">
        <v>90</v>
      </c>
      <c r="G612" s="7"/>
      <c r="I612" s="7"/>
      <c r="K612" t="str">
        <f t="shared" si="27"/>
        <v/>
      </c>
      <c r="L612" t="str">
        <f t="shared" si="28"/>
        <v/>
      </c>
      <c r="M612" t="str">
        <f t="shared" si="29"/>
        <v>2025-12</v>
      </c>
    </row>
    <row r="613" spans="1:13" x14ac:dyDescent="0.25">
      <c r="A613" s="1">
        <v>45995</v>
      </c>
      <c r="B613" t="s">
        <v>91</v>
      </c>
      <c r="C613" s="2">
        <v>3000</v>
      </c>
      <c r="D613" t="s">
        <v>89</v>
      </c>
      <c r="E613" s="16" t="s">
        <v>90</v>
      </c>
      <c r="G613" s="7"/>
      <c r="I613" s="7"/>
      <c r="K613" t="str">
        <f t="shared" si="27"/>
        <v/>
      </c>
      <c r="L613" t="str">
        <f t="shared" si="28"/>
        <v/>
      </c>
      <c r="M613" t="str">
        <f t="shared" si="29"/>
        <v>2025-12</v>
      </c>
    </row>
    <row r="614" spans="1:13" x14ac:dyDescent="0.25">
      <c r="A614" s="1">
        <v>45995</v>
      </c>
      <c r="B614" t="s">
        <v>91</v>
      </c>
      <c r="C614" s="2">
        <v>3000</v>
      </c>
      <c r="D614" t="s">
        <v>89</v>
      </c>
      <c r="E614" s="16" t="s">
        <v>90</v>
      </c>
      <c r="G614" s="7"/>
      <c r="I614" s="7"/>
      <c r="K614" t="str">
        <f t="shared" si="27"/>
        <v/>
      </c>
      <c r="L614" t="str">
        <f t="shared" si="28"/>
        <v/>
      </c>
      <c r="M614" t="str">
        <f t="shared" si="29"/>
        <v>2025-12</v>
      </c>
    </row>
    <row r="615" spans="1:13" x14ac:dyDescent="0.25">
      <c r="A615" s="1">
        <v>45995</v>
      </c>
      <c r="B615" t="s">
        <v>92</v>
      </c>
      <c r="C615" s="2">
        <v>5400</v>
      </c>
      <c r="D615" t="s">
        <v>89</v>
      </c>
      <c r="E615" s="16" t="s">
        <v>90</v>
      </c>
      <c r="G615" s="7"/>
      <c r="I615" s="7"/>
      <c r="K615" t="str">
        <f t="shared" si="27"/>
        <v/>
      </c>
      <c r="L615" t="str">
        <f t="shared" si="28"/>
        <v/>
      </c>
      <c r="M615" t="str">
        <f t="shared" si="29"/>
        <v>2025-12</v>
      </c>
    </row>
    <row r="616" spans="1:13" x14ac:dyDescent="0.25">
      <c r="A616" s="1">
        <v>45995</v>
      </c>
      <c r="B616" t="s">
        <v>92</v>
      </c>
      <c r="C616" s="2">
        <v>12150</v>
      </c>
      <c r="D616" t="s">
        <v>89</v>
      </c>
      <c r="E616" s="16" t="s">
        <v>90</v>
      </c>
      <c r="G616" s="7"/>
      <c r="I616" s="7"/>
      <c r="K616" t="str">
        <f t="shared" si="27"/>
        <v/>
      </c>
      <c r="L616" t="str">
        <f t="shared" si="28"/>
        <v/>
      </c>
      <c r="M616" t="str">
        <f t="shared" si="29"/>
        <v>2025-12</v>
      </c>
    </row>
    <row r="617" spans="1:13" x14ac:dyDescent="0.25">
      <c r="A617" s="1">
        <v>45995</v>
      </c>
      <c r="B617" t="s">
        <v>29</v>
      </c>
      <c r="C617" s="2">
        <v>3600</v>
      </c>
      <c r="D617" t="s">
        <v>89</v>
      </c>
      <c r="E617" s="16" t="s">
        <v>90</v>
      </c>
      <c r="G617" s="7"/>
      <c r="I617" s="7"/>
      <c r="K617" t="str">
        <f t="shared" si="27"/>
        <v/>
      </c>
      <c r="L617" t="str">
        <f t="shared" si="28"/>
        <v/>
      </c>
      <c r="M617" t="str">
        <f t="shared" si="29"/>
        <v>2025-12</v>
      </c>
    </row>
    <row r="618" spans="1:13" x14ac:dyDescent="0.25">
      <c r="A618" s="1">
        <v>45999</v>
      </c>
      <c r="B618" t="s">
        <v>91</v>
      </c>
      <c r="C618" s="2">
        <v>4500</v>
      </c>
      <c r="D618" t="s">
        <v>89</v>
      </c>
      <c r="E618" s="16" t="s">
        <v>90</v>
      </c>
      <c r="G618" s="7"/>
      <c r="I618" s="7"/>
      <c r="K618" t="str">
        <f t="shared" si="27"/>
        <v/>
      </c>
      <c r="L618" t="str">
        <f t="shared" si="28"/>
        <v/>
      </c>
      <c r="M618" t="str">
        <f t="shared" si="29"/>
        <v>2025-12</v>
      </c>
    </row>
    <row r="619" spans="1:13" x14ac:dyDescent="0.25">
      <c r="A619" s="1">
        <v>45999</v>
      </c>
      <c r="B619" t="s">
        <v>91</v>
      </c>
      <c r="C619" s="2">
        <v>1500</v>
      </c>
      <c r="D619" t="s">
        <v>89</v>
      </c>
      <c r="E619" s="16" t="s">
        <v>90</v>
      </c>
      <c r="G619" s="7"/>
      <c r="I619" s="7"/>
      <c r="K619" t="str">
        <f t="shared" si="27"/>
        <v/>
      </c>
      <c r="L619" t="str">
        <f t="shared" si="28"/>
        <v/>
      </c>
      <c r="M619" t="str">
        <f t="shared" si="29"/>
        <v>2025-12</v>
      </c>
    </row>
    <row r="620" spans="1:13" x14ac:dyDescent="0.25">
      <c r="A620" s="1">
        <v>45999</v>
      </c>
      <c r="B620" t="s">
        <v>21</v>
      </c>
      <c r="C620" s="2">
        <v>1250</v>
      </c>
      <c r="D620" t="s">
        <v>89</v>
      </c>
      <c r="E620" s="16" t="s">
        <v>90</v>
      </c>
      <c r="G620" s="7"/>
      <c r="I620" s="7"/>
      <c r="K620" t="str">
        <f t="shared" si="27"/>
        <v/>
      </c>
      <c r="L620" t="str">
        <f t="shared" si="28"/>
        <v/>
      </c>
      <c r="M620" t="str">
        <f t="shared" si="29"/>
        <v>2025-12</v>
      </c>
    </row>
    <row r="621" spans="1:13" x14ac:dyDescent="0.25">
      <c r="A621" s="1">
        <v>45999</v>
      </c>
      <c r="B621" t="s">
        <v>92</v>
      </c>
      <c r="C621" s="2">
        <v>1400</v>
      </c>
      <c r="D621" t="s">
        <v>89</v>
      </c>
      <c r="E621" s="16" t="s">
        <v>90</v>
      </c>
      <c r="G621" s="7"/>
      <c r="I621" s="7"/>
      <c r="K621" t="str">
        <f t="shared" si="27"/>
        <v/>
      </c>
      <c r="L621" t="str">
        <f t="shared" si="28"/>
        <v/>
      </c>
      <c r="M621" t="str">
        <f t="shared" si="29"/>
        <v>2025-12</v>
      </c>
    </row>
    <row r="622" spans="1:13" x14ac:dyDescent="0.25">
      <c r="A622" s="1">
        <v>45999</v>
      </c>
      <c r="B622" t="s">
        <v>27</v>
      </c>
      <c r="C622" s="2">
        <v>1050</v>
      </c>
      <c r="D622" t="s">
        <v>89</v>
      </c>
      <c r="E622" s="16" t="s">
        <v>90</v>
      </c>
      <c r="G622" s="7"/>
      <c r="I622" s="7"/>
      <c r="K622" t="str">
        <f t="shared" si="27"/>
        <v/>
      </c>
      <c r="L622" t="str">
        <f t="shared" si="28"/>
        <v/>
      </c>
      <c r="M622" t="str">
        <f t="shared" si="29"/>
        <v>2025-12</v>
      </c>
    </row>
    <row r="623" spans="1:13" x14ac:dyDescent="0.25">
      <c r="A623" s="1">
        <v>45999</v>
      </c>
      <c r="B623" t="s">
        <v>92</v>
      </c>
      <c r="C623" s="2">
        <v>4050</v>
      </c>
      <c r="D623" t="s">
        <v>89</v>
      </c>
      <c r="E623" s="16" t="s">
        <v>90</v>
      </c>
      <c r="G623" s="7"/>
      <c r="I623" s="7"/>
      <c r="K623" t="str">
        <f t="shared" si="27"/>
        <v/>
      </c>
      <c r="L623" t="str">
        <f t="shared" si="28"/>
        <v/>
      </c>
      <c r="M623" t="str">
        <f t="shared" si="29"/>
        <v>2025-12</v>
      </c>
    </row>
    <row r="624" spans="1:13" x14ac:dyDescent="0.25">
      <c r="A624" s="1">
        <v>45999</v>
      </c>
      <c r="B624" t="s">
        <v>92</v>
      </c>
      <c r="C624" s="2">
        <v>4050</v>
      </c>
      <c r="D624" t="s">
        <v>89</v>
      </c>
      <c r="E624" s="16" t="s">
        <v>90</v>
      </c>
      <c r="G624" s="7"/>
      <c r="I624" s="7"/>
      <c r="K624" t="str">
        <f t="shared" si="27"/>
        <v/>
      </c>
      <c r="L624" t="str">
        <f t="shared" si="28"/>
        <v/>
      </c>
      <c r="M624" t="str">
        <f t="shared" si="29"/>
        <v>2025-12</v>
      </c>
    </row>
    <row r="625" spans="1:13" x14ac:dyDescent="0.25">
      <c r="A625" s="1">
        <v>46000</v>
      </c>
      <c r="B625" t="s">
        <v>34</v>
      </c>
      <c r="C625" s="2">
        <v>7400</v>
      </c>
      <c r="D625" t="s">
        <v>89</v>
      </c>
      <c r="E625" s="16" t="s">
        <v>90</v>
      </c>
      <c r="G625" s="7"/>
      <c r="I625" s="7"/>
      <c r="K625" t="str">
        <f t="shared" si="27"/>
        <v/>
      </c>
      <c r="L625" t="str">
        <f t="shared" si="28"/>
        <v/>
      </c>
      <c r="M625" t="str">
        <f t="shared" si="29"/>
        <v>2025-12</v>
      </c>
    </row>
    <row r="626" spans="1:13" x14ac:dyDescent="0.25">
      <c r="A626" s="1">
        <v>46000</v>
      </c>
      <c r="B626" t="s">
        <v>35</v>
      </c>
      <c r="C626" s="2">
        <v>8650</v>
      </c>
      <c r="D626" t="s">
        <v>89</v>
      </c>
      <c r="E626" s="16" t="s">
        <v>90</v>
      </c>
      <c r="G626" s="7"/>
      <c r="I626" s="7"/>
      <c r="K626" t="str">
        <f t="shared" si="27"/>
        <v/>
      </c>
      <c r="L626" t="str">
        <f t="shared" si="28"/>
        <v/>
      </c>
      <c r="M626" t="str">
        <f t="shared" si="29"/>
        <v>2025-12</v>
      </c>
    </row>
    <row r="627" spans="1:13" x14ac:dyDescent="0.25">
      <c r="A627" s="1">
        <v>46000</v>
      </c>
      <c r="B627" t="s">
        <v>26</v>
      </c>
      <c r="C627" s="2">
        <v>2100</v>
      </c>
      <c r="D627" t="s">
        <v>89</v>
      </c>
      <c r="E627" s="16" t="s">
        <v>90</v>
      </c>
      <c r="G627" s="7"/>
      <c r="I627" s="7"/>
      <c r="K627" t="str">
        <f t="shared" si="27"/>
        <v/>
      </c>
      <c r="L627" t="str">
        <f t="shared" si="28"/>
        <v/>
      </c>
      <c r="M627" t="str">
        <f t="shared" si="29"/>
        <v>2025-12</v>
      </c>
    </row>
    <row r="628" spans="1:13" x14ac:dyDescent="0.25">
      <c r="A628" s="1">
        <v>46001</v>
      </c>
      <c r="B628" t="s">
        <v>91</v>
      </c>
      <c r="C628" s="2">
        <v>4500</v>
      </c>
      <c r="D628" t="s">
        <v>89</v>
      </c>
      <c r="E628" s="16" t="s">
        <v>90</v>
      </c>
      <c r="G628" s="7"/>
      <c r="I628" s="7"/>
      <c r="K628" t="str">
        <f t="shared" si="27"/>
        <v/>
      </c>
      <c r="L628" t="str">
        <f t="shared" si="28"/>
        <v/>
      </c>
      <c r="M628" t="str">
        <f t="shared" si="29"/>
        <v>2025-12</v>
      </c>
    </row>
    <row r="629" spans="1:13" x14ac:dyDescent="0.25">
      <c r="A629" s="1">
        <v>46001</v>
      </c>
      <c r="B629" t="s">
        <v>92</v>
      </c>
      <c r="C629" s="2">
        <v>1350</v>
      </c>
      <c r="D629" t="s">
        <v>89</v>
      </c>
      <c r="E629" s="16" t="s">
        <v>90</v>
      </c>
      <c r="G629" s="7"/>
      <c r="I629" s="7"/>
      <c r="K629" t="str">
        <f t="shared" si="27"/>
        <v/>
      </c>
      <c r="L629" t="str">
        <f t="shared" si="28"/>
        <v/>
      </c>
      <c r="M629" t="str">
        <f t="shared" si="29"/>
        <v>2025-12</v>
      </c>
    </row>
    <row r="630" spans="1:13" x14ac:dyDescent="0.25">
      <c r="A630" s="1">
        <v>46001</v>
      </c>
      <c r="B630" t="s">
        <v>92</v>
      </c>
      <c r="C630" s="2">
        <v>5400</v>
      </c>
      <c r="D630" t="s">
        <v>89</v>
      </c>
      <c r="E630" s="16" t="s">
        <v>90</v>
      </c>
      <c r="G630" s="7"/>
      <c r="I630" s="7"/>
      <c r="K630" t="str">
        <f t="shared" si="27"/>
        <v/>
      </c>
      <c r="L630" t="str">
        <f t="shared" si="28"/>
        <v/>
      </c>
      <c r="M630" t="str">
        <f t="shared" si="29"/>
        <v>2025-12</v>
      </c>
    </row>
    <row r="631" spans="1:13" x14ac:dyDescent="0.25">
      <c r="A631" s="1">
        <v>46001</v>
      </c>
      <c r="B631" t="s">
        <v>92</v>
      </c>
      <c r="C631" s="2">
        <v>1350</v>
      </c>
      <c r="D631" t="s">
        <v>89</v>
      </c>
      <c r="E631" s="16" t="s">
        <v>90</v>
      </c>
      <c r="G631" s="7"/>
      <c r="I631" s="7"/>
      <c r="K631" t="str">
        <f t="shared" si="27"/>
        <v/>
      </c>
      <c r="L631" t="str">
        <f t="shared" si="28"/>
        <v/>
      </c>
      <c r="M631" t="str">
        <f t="shared" si="29"/>
        <v>2025-12</v>
      </c>
    </row>
    <row r="632" spans="1:13" x14ac:dyDescent="0.25">
      <c r="A632" s="1">
        <v>46001</v>
      </c>
      <c r="B632" t="s">
        <v>92</v>
      </c>
      <c r="C632" s="2">
        <v>4050</v>
      </c>
      <c r="D632" t="s">
        <v>89</v>
      </c>
      <c r="E632" s="16" t="s">
        <v>90</v>
      </c>
      <c r="G632" s="7"/>
      <c r="I632" s="7"/>
      <c r="K632" t="str">
        <f t="shared" si="27"/>
        <v/>
      </c>
      <c r="L632" t="str">
        <f t="shared" si="28"/>
        <v/>
      </c>
      <c r="M632" t="str">
        <f t="shared" si="29"/>
        <v>2025-12</v>
      </c>
    </row>
    <row r="633" spans="1:13" x14ac:dyDescent="0.25">
      <c r="A633" s="1">
        <v>46001</v>
      </c>
      <c r="B633" t="s">
        <v>100</v>
      </c>
      <c r="C633" s="2">
        <v>1000</v>
      </c>
      <c r="D633" t="s">
        <v>89</v>
      </c>
      <c r="E633" s="16" t="s">
        <v>90</v>
      </c>
      <c r="G633" s="7"/>
      <c r="I633" s="7"/>
      <c r="K633" t="str">
        <f t="shared" si="27"/>
        <v/>
      </c>
      <c r="L633" t="str">
        <f t="shared" si="28"/>
        <v/>
      </c>
      <c r="M633" t="str">
        <f t="shared" si="29"/>
        <v>2025-12</v>
      </c>
    </row>
    <row r="634" spans="1:13" x14ac:dyDescent="0.25">
      <c r="A634" s="1">
        <v>46001</v>
      </c>
      <c r="B634" t="s">
        <v>92</v>
      </c>
      <c r="C634" s="2">
        <v>1350</v>
      </c>
      <c r="D634" t="s">
        <v>89</v>
      </c>
      <c r="E634" s="16" t="s">
        <v>90</v>
      </c>
      <c r="G634" s="7"/>
      <c r="I634" s="7"/>
      <c r="K634" t="str">
        <f t="shared" si="27"/>
        <v/>
      </c>
      <c r="L634" t="str">
        <f t="shared" si="28"/>
        <v/>
      </c>
      <c r="M634" t="str">
        <f t="shared" si="29"/>
        <v>2025-12</v>
      </c>
    </row>
    <row r="635" spans="1:13" x14ac:dyDescent="0.25">
      <c r="A635" s="1">
        <v>46001</v>
      </c>
      <c r="B635" t="s">
        <v>4</v>
      </c>
      <c r="C635" s="2">
        <v>1000</v>
      </c>
      <c r="D635" t="s">
        <v>89</v>
      </c>
      <c r="E635" s="16" t="s">
        <v>90</v>
      </c>
      <c r="G635" s="7"/>
      <c r="I635" s="7"/>
      <c r="K635" t="str">
        <f t="shared" si="27"/>
        <v/>
      </c>
      <c r="L635" t="str">
        <f t="shared" si="28"/>
        <v/>
      </c>
      <c r="M635" t="str">
        <f t="shared" si="29"/>
        <v>2025-12</v>
      </c>
    </row>
    <row r="636" spans="1:13" x14ac:dyDescent="0.25">
      <c r="A636" s="1">
        <v>46003</v>
      </c>
      <c r="B636" t="s">
        <v>22</v>
      </c>
      <c r="C636" s="2">
        <v>1100</v>
      </c>
      <c r="D636" t="s">
        <v>89</v>
      </c>
      <c r="E636" s="16" t="s">
        <v>90</v>
      </c>
      <c r="G636" s="7"/>
      <c r="I636" s="7"/>
      <c r="K636" t="str">
        <f t="shared" si="27"/>
        <v/>
      </c>
      <c r="L636" t="str">
        <f t="shared" si="28"/>
        <v/>
      </c>
      <c r="M636" t="str">
        <f t="shared" si="29"/>
        <v>2025-12</v>
      </c>
    </row>
    <row r="637" spans="1:13" x14ac:dyDescent="0.25">
      <c r="A637" s="1">
        <v>46003</v>
      </c>
      <c r="B637" t="s">
        <v>102</v>
      </c>
      <c r="C637" s="2">
        <v>1000</v>
      </c>
      <c r="D637" t="s">
        <v>89</v>
      </c>
      <c r="E637" s="16" t="s">
        <v>90</v>
      </c>
      <c r="G637" s="7"/>
      <c r="I637" s="7"/>
      <c r="K637" t="str">
        <f t="shared" si="27"/>
        <v/>
      </c>
      <c r="L637" t="str">
        <f t="shared" si="28"/>
        <v/>
      </c>
      <c r="M637" t="str">
        <f t="shared" si="29"/>
        <v>2025-12</v>
      </c>
    </row>
    <row r="638" spans="1:13" x14ac:dyDescent="0.25">
      <c r="A638" s="1">
        <v>46003</v>
      </c>
      <c r="B638" t="s">
        <v>32</v>
      </c>
      <c r="C638" s="2">
        <v>10000</v>
      </c>
      <c r="D638" t="s">
        <v>89</v>
      </c>
      <c r="E638" s="16" t="s">
        <v>90</v>
      </c>
      <c r="G638" s="7"/>
      <c r="I638" s="7"/>
      <c r="K638" t="str">
        <f t="shared" si="27"/>
        <v/>
      </c>
      <c r="L638" t="str">
        <f t="shared" si="28"/>
        <v/>
      </c>
      <c r="M638" t="str">
        <f t="shared" si="29"/>
        <v>2025-12</v>
      </c>
    </row>
    <row r="639" spans="1:13" x14ac:dyDescent="0.25">
      <c r="A639" s="1">
        <v>46003</v>
      </c>
      <c r="B639" t="s">
        <v>35</v>
      </c>
      <c r="C639" s="2">
        <v>10000</v>
      </c>
      <c r="D639" t="s">
        <v>89</v>
      </c>
      <c r="E639" s="16" t="s">
        <v>90</v>
      </c>
      <c r="G639" s="7"/>
      <c r="I639" s="7"/>
      <c r="K639" t="str">
        <f t="shared" si="27"/>
        <v/>
      </c>
      <c r="L639" t="str">
        <f t="shared" si="28"/>
        <v/>
      </c>
      <c r="M639" t="str">
        <f t="shared" si="29"/>
        <v>2025-12</v>
      </c>
    </row>
    <row r="640" spans="1:13" x14ac:dyDescent="0.25">
      <c r="A640" s="1">
        <v>46003</v>
      </c>
      <c r="B640" t="s">
        <v>31</v>
      </c>
      <c r="C640" s="2">
        <v>10000</v>
      </c>
      <c r="D640" t="s">
        <v>89</v>
      </c>
      <c r="E640" s="16" t="s">
        <v>90</v>
      </c>
      <c r="G640" s="7"/>
      <c r="I640" s="7"/>
      <c r="K640" t="str">
        <f t="shared" si="27"/>
        <v/>
      </c>
      <c r="L640" t="str">
        <f t="shared" si="28"/>
        <v/>
      </c>
      <c r="M640" t="str">
        <f t="shared" si="29"/>
        <v>2025-12</v>
      </c>
    </row>
    <row r="641" spans="1:13" x14ac:dyDescent="0.25">
      <c r="A641" s="1">
        <v>46006</v>
      </c>
      <c r="B641" t="s">
        <v>92</v>
      </c>
      <c r="C641" s="2">
        <v>1350</v>
      </c>
      <c r="D641" t="s">
        <v>89</v>
      </c>
      <c r="E641" s="16" t="s">
        <v>90</v>
      </c>
      <c r="G641" s="7"/>
      <c r="I641" s="7"/>
      <c r="K641" t="str">
        <f t="shared" si="27"/>
        <v/>
      </c>
      <c r="L641" t="str">
        <f t="shared" si="28"/>
        <v/>
      </c>
      <c r="M641" t="str">
        <f t="shared" si="29"/>
        <v>2025-12</v>
      </c>
    </row>
    <row r="642" spans="1:13" x14ac:dyDescent="0.25">
      <c r="A642" s="1">
        <v>46006</v>
      </c>
      <c r="B642" t="s">
        <v>92</v>
      </c>
      <c r="C642" s="2">
        <v>2700</v>
      </c>
      <c r="D642" t="s">
        <v>89</v>
      </c>
      <c r="E642" s="16" t="s">
        <v>90</v>
      </c>
      <c r="G642" s="7"/>
      <c r="I642" s="7"/>
      <c r="K642" t="str">
        <f t="shared" ref="K642:K705" si="30">IF(AND(L642&lt;&gt;"",C642&gt;0),L642/C642,"")</f>
        <v/>
      </c>
      <c r="L642" t="str">
        <f t="shared" ref="L642:L705" si="31">IF(AND(D642="FINALIZADO",H642&lt;&gt;""),VALUE(LEFT(H642,FIND("h",H642)-1))*60+VALUE(MID(H642,FIND("h",H642)+2,FIND("min",H642)-FIND("h",H642)-2)),"")</f>
        <v/>
      </c>
      <c r="M642" t="str">
        <f t="shared" ref="M642:M705" si="32">TEXT(YEAR(A642),"0000")&amp;"-"&amp;TEXT(MONTH(A642),"00")</f>
        <v>2025-12</v>
      </c>
    </row>
    <row r="643" spans="1:13" x14ac:dyDescent="0.25">
      <c r="A643" s="1">
        <v>46006</v>
      </c>
      <c r="B643" t="s">
        <v>92</v>
      </c>
      <c r="C643" s="2">
        <v>8100</v>
      </c>
      <c r="D643" t="s">
        <v>89</v>
      </c>
      <c r="E643" s="16" t="s">
        <v>90</v>
      </c>
      <c r="G643" s="7"/>
      <c r="I643" s="7"/>
      <c r="K643" t="str">
        <f t="shared" si="30"/>
        <v/>
      </c>
      <c r="L643" t="str">
        <f t="shared" si="31"/>
        <v/>
      </c>
      <c r="M643" t="str">
        <f t="shared" si="32"/>
        <v>2025-12</v>
      </c>
    </row>
    <row r="644" spans="1:13" x14ac:dyDescent="0.25">
      <c r="A644" s="1">
        <v>46006</v>
      </c>
      <c r="B644" t="s">
        <v>92</v>
      </c>
      <c r="C644" s="2">
        <v>1350</v>
      </c>
      <c r="D644" t="s">
        <v>89</v>
      </c>
      <c r="E644" s="16" t="s">
        <v>90</v>
      </c>
      <c r="G644" s="7"/>
      <c r="I644" s="7"/>
      <c r="K644" t="str">
        <f t="shared" si="30"/>
        <v/>
      </c>
      <c r="L644" t="str">
        <f t="shared" si="31"/>
        <v/>
      </c>
      <c r="M644" t="str">
        <f t="shared" si="32"/>
        <v>2025-12</v>
      </c>
    </row>
    <row r="645" spans="1:13" x14ac:dyDescent="0.25">
      <c r="A645" s="1">
        <v>46006</v>
      </c>
      <c r="B645" t="s">
        <v>29</v>
      </c>
      <c r="C645" s="2">
        <v>900</v>
      </c>
      <c r="D645" t="s">
        <v>89</v>
      </c>
      <c r="E645" s="16" t="s">
        <v>90</v>
      </c>
      <c r="G645" s="7"/>
      <c r="I645" s="7"/>
      <c r="K645" t="str">
        <f t="shared" si="30"/>
        <v/>
      </c>
      <c r="L645" t="str">
        <f t="shared" si="31"/>
        <v/>
      </c>
      <c r="M645" t="str">
        <f t="shared" si="32"/>
        <v>2025-12</v>
      </c>
    </row>
    <row r="646" spans="1:13" x14ac:dyDescent="0.25">
      <c r="A646" s="1">
        <v>46006</v>
      </c>
      <c r="B646" t="s">
        <v>29</v>
      </c>
      <c r="C646" s="2">
        <v>900</v>
      </c>
      <c r="D646" t="s">
        <v>89</v>
      </c>
      <c r="E646" s="16" t="s">
        <v>90</v>
      </c>
      <c r="G646" s="7"/>
      <c r="I646" s="7"/>
      <c r="K646" t="str">
        <f t="shared" si="30"/>
        <v/>
      </c>
      <c r="L646" t="str">
        <f t="shared" si="31"/>
        <v/>
      </c>
      <c r="M646" t="str">
        <f t="shared" si="32"/>
        <v>2025-12</v>
      </c>
    </row>
    <row r="647" spans="1:13" x14ac:dyDescent="0.25">
      <c r="A647" s="1">
        <v>46006</v>
      </c>
      <c r="B647" t="s">
        <v>17</v>
      </c>
      <c r="C647" s="2">
        <v>400</v>
      </c>
      <c r="D647" t="s">
        <v>89</v>
      </c>
      <c r="E647" s="16" t="s">
        <v>90</v>
      </c>
      <c r="G647" s="7"/>
      <c r="I647" s="7"/>
      <c r="K647" t="str">
        <f t="shared" si="30"/>
        <v/>
      </c>
      <c r="L647" t="str">
        <f t="shared" si="31"/>
        <v/>
      </c>
      <c r="M647" t="str">
        <f t="shared" si="32"/>
        <v>2025-12</v>
      </c>
    </row>
    <row r="648" spans="1:13" x14ac:dyDescent="0.25">
      <c r="A648" s="1">
        <v>46006</v>
      </c>
      <c r="B648" t="s">
        <v>14</v>
      </c>
      <c r="C648" s="2">
        <v>560</v>
      </c>
      <c r="D648" t="s">
        <v>89</v>
      </c>
      <c r="E648" s="16" t="s">
        <v>90</v>
      </c>
      <c r="G648" s="7"/>
      <c r="I648" s="7"/>
      <c r="K648" t="str">
        <f t="shared" si="30"/>
        <v/>
      </c>
      <c r="L648" t="str">
        <f t="shared" si="31"/>
        <v/>
      </c>
      <c r="M648" t="str">
        <f t="shared" si="32"/>
        <v>2025-12</v>
      </c>
    </row>
    <row r="649" spans="1:13" x14ac:dyDescent="0.25">
      <c r="A649" s="1">
        <v>46006</v>
      </c>
      <c r="B649" t="s">
        <v>94</v>
      </c>
      <c r="C649" s="2">
        <v>1000</v>
      </c>
      <c r="D649" t="s">
        <v>89</v>
      </c>
      <c r="E649" s="16" t="s">
        <v>90</v>
      </c>
      <c r="G649" s="7"/>
      <c r="I649" s="7"/>
      <c r="K649" t="str">
        <f t="shared" si="30"/>
        <v/>
      </c>
      <c r="L649" t="str">
        <f t="shared" si="31"/>
        <v/>
      </c>
      <c r="M649" t="str">
        <f t="shared" si="32"/>
        <v>2025-12</v>
      </c>
    </row>
    <row r="650" spans="1:13" x14ac:dyDescent="0.25">
      <c r="A650" s="1">
        <v>46006</v>
      </c>
      <c r="B650" t="s">
        <v>99</v>
      </c>
      <c r="C650" s="2">
        <v>3300</v>
      </c>
      <c r="D650" t="s">
        <v>89</v>
      </c>
      <c r="E650" s="16" t="s">
        <v>90</v>
      </c>
      <c r="G650" s="7"/>
      <c r="I650" s="7"/>
      <c r="K650" t="str">
        <f t="shared" si="30"/>
        <v/>
      </c>
      <c r="L650" t="str">
        <f t="shared" si="31"/>
        <v/>
      </c>
      <c r="M650" t="str">
        <f t="shared" si="32"/>
        <v>2025-12</v>
      </c>
    </row>
    <row r="651" spans="1:13" x14ac:dyDescent="0.25">
      <c r="A651" s="1">
        <v>46006</v>
      </c>
      <c r="B651" t="s">
        <v>99</v>
      </c>
      <c r="C651" s="2">
        <v>3300</v>
      </c>
      <c r="D651" t="s">
        <v>89</v>
      </c>
      <c r="E651" s="16" t="s">
        <v>90</v>
      </c>
      <c r="G651" s="7"/>
      <c r="I651" s="7"/>
      <c r="K651" t="str">
        <f t="shared" si="30"/>
        <v/>
      </c>
      <c r="L651" t="str">
        <f t="shared" si="31"/>
        <v/>
      </c>
      <c r="M651" t="str">
        <f t="shared" si="32"/>
        <v>2025-12</v>
      </c>
    </row>
    <row r="652" spans="1:13" x14ac:dyDescent="0.25">
      <c r="A652" s="1">
        <v>46006</v>
      </c>
      <c r="B652" t="s">
        <v>99</v>
      </c>
      <c r="C652" s="2">
        <v>1100</v>
      </c>
      <c r="D652" t="s">
        <v>89</v>
      </c>
      <c r="E652" s="16" t="s">
        <v>90</v>
      </c>
      <c r="G652" s="7"/>
      <c r="I652" s="7"/>
      <c r="K652" t="str">
        <f t="shared" si="30"/>
        <v/>
      </c>
      <c r="L652" t="str">
        <f t="shared" si="31"/>
        <v/>
      </c>
      <c r="M652" t="str">
        <f t="shared" si="32"/>
        <v>2025-12</v>
      </c>
    </row>
    <row r="653" spans="1:13" x14ac:dyDescent="0.25">
      <c r="A653" s="1">
        <v>46006</v>
      </c>
      <c r="B653" t="s">
        <v>99</v>
      </c>
      <c r="C653" s="2">
        <v>1100</v>
      </c>
      <c r="D653" t="s">
        <v>89</v>
      </c>
      <c r="E653" s="16" t="s">
        <v>90</v>
      </c>
      <c r="G653" s="7"/>
      <c r="I653" s="7"/>
      <c r="K653" t="str">
        <f t="shared" si="30"/>
        <v/>
      </c>
      <c r="L653" t="str">
        <f t="shared" si="31"/>
        <v/>
      </c>
      <c r="M653" t="str">
        <f t="shared" si="32"/>
        <v>2025-12</v>
      </c>
    </row>
    <row r="654" spans="1:13" x14ac:dyDescent="0.25">
      <c r="A654" s="1">
        <v>46006</v>
      </c>
      <c r="B654" t="s">
        <v>31</v>
      </c>
      <c r="C654" s="2">
        <v>10000</v>
      </c>
      <c r="D654" t="s">
        <v>89</v>
      </c>
      <c r="E654" s="16" t="s">
        <v>90</v>
      </c>
      <c r="G654" s="7"/>
      <c r="I654" s="7"/>
      <c r="K654" t="str">
        <f t="shared" si="30"/>
        <v/>
      </c>
      <c r="L654" t="str">
        <f t="shared" si="31"/>
        <v/>
      </c>
      <c r="M654" t="str">
        <f t="shared" si="32"/>
        <v>2025-12</v>
      </c>
    </row>
    <row r="655" spans="1:13" x14ac:dyDescent="0.25">
      <c r="A655" s="1">
        <v>46006</v>
      </c>
      <c r="B655" t="s">
        <v>108</v>
      </c>
      <c r="C655" s="2">
        <v>17950</v>
      </c>
      <c r="D655" t="s">
        <v>89</v>
      </c>
      <c r="E655" s="16" t="s">
        <v>90</v>
      </c>
      <c r="G655" s="7"/>
      <c r="I655" s="7"/>
      <c r="K655" t="str">
        <f t="shared" si="30"/>
        <v/>
      </c>
      <c r="L655" t="str">
        <f t="shared" si="31"/>
        <v/>
      </c>
      <c r="M655" t="str">
        <f t="shared" si="32"/>
        <v>2025-12</v>
      </c>
    </row>
    <row r="656" spans="1:13" x14ac:dyDescent="0.25">
      <c r="A656" s="1">
        <v>46007</v>
      </c>
      <c r="B656" t="s">
        <v>92</v>
      </c>
      <c r="C656" s="2">
        <v>1350</v>
      </c>
      <c r="D656" t="s">
        <v>89</v>
      </c>
      <c r="E656" s="16" t="s">
        <v>90</v>
      </c>
      <c r="G656" s="7"/>
      <c r="I656" s="7"/>
      <c r="K656" t="str">
        <f t="shared" si="30"/>
        <v/>
      </c>
      <c r="L656" t="str">
        <f t="shared" si="31"/>
        <v/>
      </c>
      <c r="M656" t="str">
        <f t="shared" si="32"/>
        <v>2025-12</v>
      </c>
    </row>
    <row r="657" spans="1:13" x14ac:dyDescent="0.25">
      <c r="A657" s="1">
        <v>46007</v>
      </c>
      <c r="B657" t="s">
        <v>92</v>
      </c>
      <c r="C657" s="2">
        <v>1350</v>
      </c>
      <c r="D657" t="s">
        <v>89</v>
      </c>
      <c r="E657" s="16" t="s">
        <v>90</v>
      </c>
      <c r="G657" s="7"/>
      <c r="I657" s="7"/>
      <c r="K657" t="str">
        <f t="shared" si="30"/>
        <v/>
      </c>
      <c r="L657" t="str">
        <f t="shared" si="31"/>
        <v/>
      </c>
      <c r="M657" t="str">
        <f t="shared" si="32"/>
        <v>2025-12</v>
      </c>
    </row>
    <row r="658" spans="1:13" x14ac:dyDescent="0.25">
      <c r="A658" s="1">
        <v>46007</v>
      </c>
      <c r="B658" t="s">
        <v>92</v>
      </c>
      <c r="C658" s="2">
        <v>2700</v>
      </c>
      <c r="D658" t="s">
        <v>89</v>
      </c>
      <c r="E658" s="16" t="s">
        <v>90</v>
      </c>
      <c r="G658" s="7"/>
      <c r="I658" s="7"/>
      <c r="K658" t="str">
        <f t="shared" si="30"/>
        <v/>
      </c>
      <c r="L658" t="str">
        <f t="shared" si="31"/>
        <v/>
      </c>
      <c r="M658" t="str">
        <f t="shared" si="32"/>
        <v>2025-12</v>
      </c>
    </row>
    <row r="659" spans="1:13" x14ac:dyDescent="0.25">
      <c r="A659" s="1">
        <v>46008</v>
      </c>
      <c r="B659" t="s">
        <v>92</v>
      </c>
      <c r="C659" s="2">
        <v>1350</v>
      </c>
      <c r="D659" t="s">
        <v>89</v>
      </c>
      <c r="E659" s="16" t="s">
        <v>90</v>
      </c>
      <c r="G659" s="7"/>
      <c r="I659" s="7"/>
      <c r="K659" t="str">
        <f t="shared" si="30"/>
        <v/>
      </c>
      <c r="L659" t="str">
        <f t="shared" si="31"/>
        <v/>
      </c>
      <c r="M659" t="str">
        <f t="shared" si="32"/>
        <v>2025-12</v>
      </c>
    </row>
    <row r="660" spans="1:13" x14ac:dyDescent="0.25">
      <c r="A660" s="1">
        <v>46008</v>
      </c>
      <c r="B660" t="s">
        <v>92</v>
      </c>
      <c r="C660" s="2">
        <v>5600</v>
      </c>
      <c r="D660" t="s">
        <v>89</v>
      </c>
      <c r="E660" s="16" t="s">
        <v>90</v>
      </c>
      <c r="G660" s="7"/>
      <c r="I660" s="7"/>
      <c r="K660" t="str">
        <f t="shared" si="30"/>
        <v/>
      </c>
      <c r="L660" t="str">
        <f t="shared" si="31"/>
        <v/>
      </c>
      <c r="M660" t="str">
        <f t="shared" si="32"/>
        <v>2025-12</v>
      </c>
    </row>
    <row r="661" spans="1:13" x14ac:dyDescent="0.25">
      <c r="A661" s="1">
        <v>46008</v>
      </c>
      <c r="B661" t="s">
        <v>92</v>
      </c>
      <c r="C661" s="2">
        <v>1350</v>
      </c>
      <c r="D661" t="s">
        <v>89</v>
      </c>
      <c r="E661" s="16" t="s">
        <v>90</v>
      </c>
      <c r="G661" s="7"/>
      <c r="I661" s="7"/>
      <c r="K661" t="str">
        <f t="shared" si="30"/>
        <v/>
      </c>
      <c r="L661" t="str">
        <f t="shared" si="31"/>
        <v/>
      </c>
      <c r="M661" t="str">
        <f t="shared" si="32"/>
        <v>2025-12</v>
      </c>
    </row>
    <row r="662" spans="1:13" x14ac:dyDescent="0.25">
      <c r="A662" s="1">
        <v>46008</v>
      </c>
      <c r="B662" t="s">
        <v>92</v>
      </c>
      <c r="C662" s="2">
        <v>6750</v>
      </c>
      <c r="D662" t="s">
        <v>89</v>
      </c>
      <c r="E662" s="16" t="s">
        <v>90</v>
      </c>
      <c r="G662" s="7"/>
      <c r="I662" s="7"/>
      <c r="K662" t="str">
        <f t="shared" si="30"/>
        <v/>
      </c>
      <c r="L662" t="str">
        <f t="shared" si="31"/>
        <v/>
      </c>
      <c r="M662" t="str">
        <f t="shared" si="32"/>
        <v>2025-12</v>
      </c>
    </row>
    <row r="663" spans="1:13" x14ac:dyDescent="0.25">
      <c r="A663" s="1">
        <v>46008</v>
      </c>
      <c r="B663" t="s">
        <v>92</v>
      </c>
      <c r="C663" s="2">
        <v>4050</v>
      </c>
      <c r="D663" t="s">
        <v>89</v>
      </c>
      <c r="E663" s="16" t="s">
        <v>90</v>
      </c>
      <c r="G663" s="7"/>
      <c r="I663" s="7"/>
      <c r="K663" t="str">
        <f t="shared" si="30"/>
        <v/>
      </c>
      <c r="L663" t="str">
        <f t="shared" si="31"/>
        <v/>
      </c>
      <c r="M663" t="str">
        <f t="shared" si="32"/>
        <v>2025-12</v>
      </c>
    </row>
    <row r="664" spans="1:13" x14ac:dyDescent="0.25">
      <c r="A664" s="1">
        <v>46009</v>
      </c>
      <c r="B664" t="s">
        <v>91</v>
      </c>
      <c r="C664" s="2">
        <v>3000</v>
      </c>
      <c r="D664" t="s">
        <v>89</v>
      </c>
      <c r="E664" s="16" t="s">
        <v>90</v>
      </c>
      <c r="G664" s="7"/>
      <c r="I664" s="7"/>
      <c r="K664" t="str">
        <f t="shared" si="30"/>
        <v/>
      </c>
      <c r="L664" t="str">
        <f t="shared" si="31"/>
        <v/>
      </c>
      <c r="M664" t="str">
        <f t="shared" si="32"/>
        <v>2025-12</v>
      </c>
    </row>
    <row r="665" spans="1:13" x14ac:dyDescent="0.25">
      <c r="A665" s="1">
        <v>46009</v>
      </c>
      <c r="B665" t="s">
        <v>96</v>
      </c>
      <c r="C665" s="2">
        <v>1250</v>
      </c>
      <c r="D665" t="s">
        <v>89</v>
      </c>
      <c r="E665" s="16" t="s">
        <v>90</v>
      </c>
      <c r="G665" s="7"/>
      <c r="I665" s="7"/>
      <c r="K665" t="str">
        <f t="shared" si="30"/>
        <v/>
      </c>
      <c r="L665" t="str">
        <f t="shared" si="31"/>
        <v/>
      </c>
      <c r="M665" t="str">
        <f t="shared" si="32"/>
        <v>2025-12</v>
      </c>
    </row>
    <row r="666" spans="1:13" x14ac:dyDescent="0.25">
      <c r="A666" s="1">
        <v>46009</v>
      </c>
      <c r="B666" t="s">
        <v>94</v>
      </c>
      <c r="C666" s="2">
        <v>2000</v>
      </c>
      <c r="D666" t="s">
        <v>89</v>
      </c>
      <c r="E666" s="16" t="s">
        <v>90</v>
      </c>
      <c r="G666" s="7"/>
      <c r="I666" s="7"/>
      <c r="K666" t="str">
        <f t="shared" si="30"/>
        <v/>
      </c>
      <c r="L666" t="str">
        <f t="shared" si="31"/>
        <v/>
      </c>
      <c r="M666" t="str">
        <f t="shared" si="32"/>
        <v>2025-12</v>
      </c>
    </row>
    <row r="667" spans="1:13" x14ac:dyDescent="0.25">
      <c r="A667" s="1">
        <v>46009</v>
      </c>
      <c r="B667" t="s">
        <v>97</v>
      </c>
      <c r="C667" s="2">
        <v>1200</v>
      </c>
      <c r="D667" t="s">
        <v>89</v>
      </c>
      <c r="E667" s="16" t="s">
        <v>90</v>
      </c>
      <c r="G667" s="7"/>
      <c r="I667" s="7"/>
      <c r="K667" t="str">
        <f t="shared" si="30"/>
        <v/>
      </c>
      <c r="L667" t="str">
        <f t="shared" si="31"/>
        <v/>
      </c>
      <c r="M667" t="str">
        <f t="shared" si="32"/>
        <v>2025-12</v>
      </c>
    </row>
    <row r="668" spans="1:13" x14ac:dyDescent="0.25">
      <c r="A668" s="1">
        <v>46009</v>
      </c>
      <c r="B668" t="s">
        <v>35</v>
      </c>
      <c r="C668" s="2">
        <v>10000</v>
      </c>
      <c r="D668" t="s">
        <v>89</v>
      </c>
      <c r="E668" s="16" t="s">
        <v>90</v>
      </c>
      <c r="G668" s="7"/>
      <c r="I668" s="7"/>
      <c r="K668" t="str">
        <f t="shared" si="30"/>
        <v/>
      </c>
      <c r="L668" t="str">
        <f t="shared" si="31"/>
        <v/>
      </c>
      <c r="M668" t="str">
        <f t="shared" si="32"/>
        <v>2025-12</v>
      </c>
    </row>
    <row r="669" spans="1:13" x14ac:dyDescent="0.25">
      <c r="A669" s="1">
        <v>46009</v>
      </c>
      <c r="B669" t="s">
        <v>92</v>
      </c>
      <c r="C669" s="2">
        <v>12150</v>
      </c>
      <c r="D669" t="s">
        <v>89</v>
      </c>
      <c r="E669" s="16" t="s">
        <v>90</v>
      </c>
      <c r="G669" s="7"/>
      <c r="I669" s="7"/>
      <c r="K669" t="str">
        <f t="shared" si="30"/>
        <v/>
      </c>
      <c r="L669" t="str">
        <f t="shared" si="31"/>
        <v/>
      </c>
      <c r="M669" t="str">
        <f t="shared" si="32"/>
        <v>2025-12</v>
      </c>
    </row>
    <row r="670" spans="1:13" x14ac:dyDescent="0.25">
      <c r="A670" s="1">
        <v>46010</v>
      </c>
      <c r="B670" t="s">
        <v>33</v>
      </c>
      <c r="C670" s="2">
        <v>10400</v>
      </c>
      <c r="D670" t="s">
        <v>89</v>
      </c>
      <c r="E670" s="16" t="s">
        <v>90</v>
      </c>
      <c r="G670" s="7"/>
      <c r="I670" s="7"/>
      <c r="K670" t="str">
        <f t="shared" si="30"/>
        <v/>
      </c>
      <c r="L670" t="str">
        <f t="shared" si="31"/>
        <v/>
      </c>
      <c r="M670" t="str">
        <f t="shared" si="32"/>
        <v>2025-12</v>
      </c>
    </row>
    <row r="671" spans="1:13" x14ac:dyDescent="0.25">
      <c r="A671" s="1">
        <v>46010</v>
      </c>
      <c r="B671" t="s">
        <v>35</v>
      </c>
      <c r="C671" s="2">
        <v>10000</v>
      </c>
      <c r="D671" t="s">
        <v>89</v>
      </c>
      <c r="E671" s="16" t="s">
        <v>90</v>
      </c>
      <c r="G671" s="7"/>
      <c r="I671" s="7"/>
      <c r="K671" t="str">
        <f t="shared" si="30"/>
        <v/>
      </c>
      <c r="L671" t="str">
        <f t="shared" si="31"/>
        <v/>
      </c>
      <c r="M671" t="str">
        <f t="shared" si="32"/>
        <v>2025-12</v>
      </c>
    </row>
    <row r="672" spans="1:13" x14ac:dyDescent="0.25">
      <c r="A672" s="1">
        <v>46010</v>
      </c>
      <c r="B672" t="s">
        <v>34</v>
      </c>
      <c r="C672" s="2">
        <v>10000</v>
      </c>
      <c r="D672" t="s">
        <v>89</v>
      </c>
      <c r="E672" s="16" t="s">
        <v>90</v>
      </c>
      <c r="G672" s="7"/>
      <c r="I672" s="7"/>
      <c r="K672" t="str">
        <f t="shared" si="30"/>
        <v/>
      </c>
      <c r="L672" t="str">
        <f t="shared" si="31"/>
        <v/>
      </c>
      <c r="M672" t="str">
        <f t="shared" si="32"/>
        <v>2025-12</v>
      </c>
    </row>
    <row r="673" spans="1:13" x14ac:dyDescent="0.25">
      <c r="A673" s="1">
        <v>46010</v>
      </c>
      <c r="B673" t="s">
        <v>91</v>
      </c>
      <c r="C673" s="2">
        <v>6200</v>
      </c>
      <c r="D673" t="s">
        <v>89</v>
      </c>
      <c r="E673" s="16" t="s">
        <v>90</v>
      </c>
      <c r="G673" s="7"/>
      <c r="I673" s="7"/>
      <c r="K673" t="str">
        <f t="shared" si="30"/>
        <v/>
      </c>
      <c r="L673" t="str">
        <f t="shared" si="31"/>
        <v/>
      </c>
      <c r="M673" t="str">
        <f t="shared" si="32"/>
        <v>2025-12</v>
      </c>
    </row>
    <row r="674" spans="1:13" x14ac:dyDescent="0.25">
      <c r="A674" s="1">
        <v>46010</v>
      </c>
      <c r="B674" t="s">
        <v>91</v>
      </c>
      <c r="C674" s="2">
        <v>6000</v>
      </c>
      <c r="D674" t="s">
        <v>89</v>
      </c>
      <c r="E674" s="16" t="s">
        <v>90</v>
      </c>
      <c r="G674" s="7"/>
      <c r="I674" s="7"/>
      <c r="K674" t="str">
        <f t="shared" si="30"/>
        <v/>
      </c>
      <c r="L674" t="str">
        <f t="shared" si="31"/>
        <v/>
      </c>
      <c r="M674" t="str">
        <f t="shared" si="32"/>
        <v>2025-12</v>
      </c>
    </row>
    <row r="675" spans="1:13" x14ac:dyDescent="0.25">
      <c r="A675" s="1">
        <v>46010</v>
      </c>
      <c r="B675" t="s">
        <v>17</v>
      </c>
      <c r="C675" s="2">
        <v>400</v>
      </c>
      <c r="D675" t="s">
        <v>89</v>
      </c>
      <c r="E675" s="16" t="s">
        <v>90</v>
      </c>
      <c r="G675" s="7"/>
      <c r="I675" s="7"/>
      <c r="K675" t="str">
        <f t="shared" si="30"/>
        <v/>
      </c>
      <c r="L675" t="str">
        <f t="shared" si="31"/>
        <v/>
      </c>
      <c r="M675" t="str">
        <f t="shared" si="32"/>
        <v>2025-12</v>
      </c>
    </row>
    <row r="676" spans="1:13" x14ac:dyDescent="0.25">
      <c r="A676" s="1">
        <v>46010</v>
      </c>
      <c r="B676" t="s">
        <v>92</v>
      </c>
      <c r="C676" s="2">
        <v>4050</v>
      </c>
      <c r="D676" t="s">
        <v>89</v>
      </c>
      <c r="E676" s="16" t="s">
        <v>90</v>
      </c>
      <c r="G676" s="7"/>
      <c r="I676" s="7"/>
      <c r="K676" t="str">
        <f t="shared" si="30"/>
        <v/>
      </c>
      <c r="L676" t="str">
        <f t="shared" si="31"/>
        <v/>
      </c>
      <c r="M676" t="str">
        <f t="shared" si="32"/>
        <v>2025-12</v>
      </c>
    </row>
    <row r="677" spans="1:13" x14ac:dyDescent="0.25">
      <c r="A677" s="1">
        <v>46010</v>
      </c>
      <c r="B677" t="s">
        <v>6</v>
      </c>
      <c r="C677" s="2">
        <v>900</v>
      </c>
      <c r="D677" t="s">
        <v>89</v>
      </c>
      <c r="E677" s="16" t="s">
        <v>90</v>
      </c>
      <c r="G677" s="7"/>
      <c r="I677" s="7"/>
      <c r="K677" t="str">
        <f t="shared" si="30"/>
        <v/>
      </c>
      <c r="L677" t="str">
        <f t="shared" si="31"/>
        <v/>
      </c>
      <c r="M677" t="str">
        <f t="shared" si="32"/>
        <v>2025-12</v>
      </c>
    </row>
    <row r="678" spans="1:13" x14ac:dyDescent="0.25">
      <c r="A678" s="1">
        <v>46010</v>
      </c>
      <c r="B678" t="s">
        <v>29</v>
      </c>
      <c r="C678" s="2">
        <v>3600</v>
      </c>
      <c r="D678" t="s">
        <v>89</v>
      </c>
      <c r="E678" s="16" t="s">
        <v>90</v>
      </c>
      <c r="G678" s="7"/>
      <c r="I678" s="7"/>
      <c r="K678" t="str">
        <f t="shared" si="30"/>
        <v/>
      </c>
      <c r="L678" t="str">
        <f t="shared" si="31"/>
        <v/>
      </c>
      <c r="M678" t="str">
        <f t="shared" si="32"/>
        <v>2025-12</v>
      </c>
    </row>
    <row r="679" spans="1:13" x14ac:dyDescent="0.25">
      <c r="A679" s="1">
        <v>46010</v>
      </c>
      <c r="B679" t="s">
        <v>92</v>
      </c>
      <c r="C679" s="2">
        <v>4050</v>
      </c>
      <c r="D679" t="s">
        <v>89</v>
      </c>
      <c r="E679" s="16" t="s">
        <v>90</v>
      </c>
      <c r="G679" s="7"/>
      <c r="I679" s="7"/>
      <c r="K679" t="str">
        <f t="shared" si="30"/>
        <v/>
      </c>
      <c r="L679" t="str">
        <f t="shared" si="31"/>
        <v/>
      </c>
      <c r="M679" t="str">
        <f t="shared" si="32"/>
        <v>2025-12</v>
      </c>
    </row>
    <row r="680" spans="1:13" x14ac:dyDescent="0.25">
      <c r="A680" s="1">
        <v>46013</v>
      </c>
      <c r="B680" t="s">
        <v>96</v>
      </c>
      <c r="C680" s="2">
        <v>1250</v>
      </c>
      <c r="D680" t="s">
        <v>89</v>
      </c>
      <c r="E680" s="16" t="s">
        <v>90</v>
      </c>
      <c r="G680" s="7"/>
      <c r="I680" s="7"/>
      <c r="K680" t="str">
        <f t="shared" si="30"/>
        <v/>
      </c>
      <c r="L680" t="str">
        <f t="shared" si="31"/>
        <v/>
      </c>
      <c r="M680" t="str">
        <f t="shared" si="32"/>
        <v>2025-12</v>
      </c>
    </row>
    <row r="681" spans="1:13" x14ac:dyDescent="0.25">
      <c r="A681" s="1">
        <v>46013</v>
      </c>
      <c r="B681" t="s">
        <v>92</v>
      </c>
      <c r="C681" s="2">
        <v>5400</v>
      </c>
      <c r="D681" t="s">
        <v>89</v>
      </c>
      <c r="E681" s="16" t="s">
        <v>90</v>
      </c>
      <c r="G681" s="7"/>
      <c r="I681" s="7"/>
      <c r="K681" t="str">
        <f t="shared" si="30"/>
        <v/>
      </c>
      <c r="L681" t="str">
        <f t="shared" si="31"/>
        <v/>
      </c>
      <c r="M681" t="str">
        <f t="shared" si="32"/>
        <v>2025-12</v>
      </c>
    </row>
    <row r="682" spans="1:13" x14ac:dyDescent="0.25">
      <c r="A682" s="1">
        <v>46013</v>
      </c>
      <c r="B682" t="s">
        <v>92</v>
      </c>
      <c r="C682" s="2">
        <v>2700</v>
      </c>
      <c r="D682" t="s">
        <v>89</v>
      </c>
      <c r="E682" s="16" t="s">
        <v>90</v>
      </c>
      <c r="G682" s="7"/>
      <c r="I682" s="7"/>
      <c r="K682" t="str">
        <f t="shared" si="30"/>
        <v/>
      </c>
      <c r="L682" t="str">
        <f t="shared" si="31"/>
        <v/>
      </c>
      <c r="M682" t="str">
        <f t="shared" si="32"/>
        <v>2025-12</v>
      </c>
    </row>
    <row r="683" spans="1:13" x14ac:dyDescent="0.25">
      <c r="A683" s="1">
        <v>46013</v>
      </c>
      <c r="B683" t="s">
        <v>92</v>
      </c>
      <c r="C683" s="2">
        <v>4050</v>
      </c>
      <c r="D683" t="s">
        <v>89</v>
      </c>
      <c r="E683" s="16" t="s">
        <v>90</v>
      </c>
      <c r="G683" s="7"/>
      <c r="I683" s="7"/>
      <c r="K683" t="str">
        <f t="shared" si="30"/>
        <v/>
      </c>
      <c r="L683" t="str">
        <f t="shared" si="31"/>
        <v/>
      </c>
      <c r="M683" t="str">
        <f t="shared" si="32"/>
        <v>2025-12</v>
      </c>
    </row>
    <row r="684" spans="1:13" x14ac:dyDescent="0.25">
      <c r="A684" s="1">
        <v>46013</v>
      </c>
      <c r="B684" t="s">
        <v>92</v>
      </c>
      <c r="C684" s="2">
        <v>2700</v>
      </c>
      <c r="D684" t="s">
        <v>89</v>
      </c>
      <c r="E684" s="16" t="s">
        <v>90</v>
      </c>
      <c r="G684" s="7"/>
      <c r="I684" s="7"/>
      <c r="K684" t="str">
        <f t="shared" si="30"/>
        <v/>
      </c>
      <c r="L684" t="str">
        <f t="shared" si="31"/>
        <v/>
      </c>
      <c r="M684" t="str">
        <f t="shared" si="32"/>
        <v>2025-12</v>
      </c>
    </row>
    <row r="685" spans="1:13" x14ac:dyDescent="0.25">
      <c r="A685" s="1">
        <v>46013</v>
      </c>
      <c r="B685" t="s">
        <v>92</v>
      </c>
      <c r="C685" s="2">
        <v>16200</v>
      </c>
      <c r="D685" t="s">
        <v>89</v>
      </c>
      <c r="E685" s="16" t="s">
        <v>90</v>
      </c>
      <c r="G685" s="7"/>
      <c r="I685" s="7"/>
      <c r="K685" t="str">
        <f t="shared" si="30"/>
        <v/>
      </c>
      <c r="L685" t="str">
        <f t="shared" si="31"/>
        <v/>
      </c>
      <c r="M685" t="str">
        <f t="shared" si="32"/>
        <v>2025-12</v>
      </c>
    </row>
    <row r="686" spans="1:13" x14ac:dyDescent="0.25">
      <c r="A686" s="1">
        <v>46013</v>
      </c>
      <c r="B686" t="s">
        <v>91</v>
      </c>
      <c r="C686" s="2">
        <v>4500</v>
      </c>
      <c r="D686" t="s">
        <v>89</v>
      </c>
      <c r="E686" s="16" t="s">
        <v>90</v>
      </c>
      <c r="G686" s="7"/>
      <c r="I686" s="7"/>
      <c r="K686" t="str">
        <f t="shared" si="30"/>
        <v/>
      </c>
      <c r="L686" t="str">
        <f t="shared" si="31"/>
        <v/>
      </c>
      <c r="M686" t="str">
        <f t="shared" si="32"/>
        <v>2025-12</v>
      </c>
    </row>
    <row r="687" spans="1:13" x14ac:dyDescent="0.25">
      <c r="A687" s="1">
        <v>46014</v>
      </c>
      <c r="B687" t="s">
        <v>92</v>
      </c>
      <c r="C687" s="2">
        <v>1350</v>
      </c>
      <c r="D687" t="s">
        <v>89</v>
      </c>
      <c r="E687" s="16" t="s">
        <v>90</v>
      </c>
      <c r="G687" s="7"/>
      <c r="I687" s="7"/>
      <c r="K687" t="str">
        <f t="shared" si="30"/>
        <v/>
      </c>
      <c r="L687" t="str">
        <f t="shared" si="31"/>
        <v/>
      </c>
      <c r="M687" t="str">
        <f t="shared" si="32"/>
        <v>2025-12</v>
      </c>
    </row>
    <row r="688" spans="1:13" x14ac:dyDescent="0.25">
      <c r="A688" s="1">
        <v>46014</v>
      </c>
      <c r="B688" t="s">
        <v>92</v>
      </c>
      <c r="C688" s="2">
        <v>1350</v>
      </c>
      <c r="D688" t="s">
        <v>89</v>
      </c>
      <c r="E688" s="16" t="s">
        <v>90</v>
      </c>
      <c r="G688" s="7"/>
      <c r="I688" s="7"/>
      <c r="K688" t="str">
        <f t="shared" si="30"/>
        <v/>
      </c>
      <c r="L688" t="str">
        <f t="shared" si="31"/>
        <v/>
      </c>
      <c r="M688" t="str">
        <f t="shared" si="32"/>
        <v>2025-12</v>
      </c>
    </row>
    <row r="689" spans="1:13" x14ac:dyDescent="0.25">
      <c r="A689" s="1">
        <v>46014</v>
      </c>
      <c r="B689" t="s">
        <v>27</v>
      </c>
      <c r="C689" s="2">
        <v>1050</v>
      </c>
      <c r="D689" t="s">
        <v>89</v>
      </c>
      <c r="E689" s="16" t="s">
        <v>90</v>
      </c>
      <c r="G689" s="7"/>
      <c r="I689" s="7"/>
      <c r="K689" t="str">
        <f t="shared" si="30"/>
        <v/>
      </c>
      <c r="L689" t="str">
        <f t="shared" si="31"/>
        <v/>
      </c>
      <c r="M689" t="str">
        <f t="shared" si="32"/>
        <v>2025-12</v>
      </c>
    </row>
    <row r="690" spans="1:13" x14ac:dyDescent="0.25">
      <c r="A690" s="1">
        <v>46014</v>
      </c>
      <c r="B690" t="s">
        <v>32</v>
      </c>
      <c r="C690" s="2">
        <v>5000</v>
      </c>
      <c r="D690" t="s">
        <v>89</v>
      </c>
      <c r="E690" s="16" t="s">
        <v>90</v>
      </c>
      <c r="G690" s="7"/>
      <c r="I690" s="7"/>
      <c r="K690" t="str">
        <f t="shared" si="30"/>
        <v/>
      </c>
      <c r="L690" t="str">
        <f t="shared" si="31"/>
        <v/>
      </c>
      <c r="M690" t="str">
        <f t="shared" si="32"/>
        <v>2025-12</v>
      </c>
    </row>
    <row r="691" spans="1:13" x14ac:dyDescent="0.25">
      <c r="A691" s="1">
        <v>46014</v>
      </c>
      <c r="B691" t="s">
        <v>22</v>
      </c>
      <c r="C691" s="2">
        <v>1000</v>
      </c>
      <c r="D691" t="s">
        <v>89</v>
      </c>
      <c r="E691" s="16" t="s">
        <v>90</v>
      </c>
      <c r="G691" s="7"/>
      <c r="I691" s="7"/>
      <c r="K691" t="str">
        <f t="shared" si="30"/>
        <v/>
      </c>
      <c r="L691" t="str">
        <f t="shared" si="31"/>
        <v/>
      </c>
      <c r="M691" t="str">
        <f t="shared" si="32"/>
        <v>2025-12</v>
      </c>
    </row>
    <row r="692" spans="1:13" x14ac:dyDescent="0.25">
      <c r="A692" s="1">
        <v>46014</v>
      </c>
      <c r="B692" t="s">
        <v>32</v>
      </c>
      <c r="C692" s="2">
        <v>6000</v>
      </c>
      <c r="D692" t="s">
        <v>89</v>
      </c>
      <c r="E692" s="16" t="s">
        <v>90</v>
      </c>
      <c r="G692" s="7"/>
      <c r="I692" s="7"/>
      <c r="K692" t="str">
        <f t="shared" si="30"/>
        <v/>
      </c>
      <c r="L692" t="str">
        <f t="shared" si="31"/>
        <v/>
      </c>
      <c r="M692" t="str">
        <f t="shared" si="32"/>
        <v>2025-12</v>
      </c>
    </row>
    <row r="693" spans="1:13" x14ac:dyDescent="0.25">
      <c r="A693" s="1">
        <v>46014</v>
      </c>
      <c r="B693" t="s">
        <v>22</v>
      </c>
      <c r="C693" s="2">
        <v>1000</v>
      </c>
      <c r="D693" t="s">
        <v>89</v>
      </c>
      <c r="E693" s="16" t="s">
        <v>90</v>
      </c>
      <c r="G693" s="7"/>
      <c r="I693" s="7"/>
      <c r="K693" t="str">
        <f t="shared" si="30"/>
        <v/>
      </c>
      <c r="L693" t="str">
        <f t="shared" si="31"/>
        <v/>
      </c>
      <c r="M693" t="str">
        <f t="shared" si="32"/>
        <v>2025-12</v>
      </c>
    </row>
    <row r="694" spans="1:13" x14ac:dyDescent="0.25">
      <c r="A694" s="1">
        <v>46014</v>
      </c>
      <c r="B694" t="s">
        <v>92</v>
      </c>
      <c r="C694" s="2">
        <v>2700</v>
      </c>
      <c r="D694" t="s">
        <v>89</v>
      </c>
      <c r="E694" s="16" t="s">
        <v>90</v>
      </c>
      <c r="G694" s="7"/>
      <c r="I694" s="7"/>
      <c r="K694" t="str">
        <f t="shared" si="30"/>
        <v/>
      </c>
      <c r="L694" t="str">
        <f t="shared" si="31"/>
        <v/>
      </c>
      <c r="M694" t="str">
        <f t="shared" si="32"/>
        <v>2025-12</v>
      </c>
    </row>
    <row r="695" spans="1:13" x14ac:dyDescent="0.25">
      <c r="A695" s="1">
        <v>46014</v>
      </c>
      <c r="B695" t="s">
        <v>92</v>
      </c>
      <c r="C695" s="2">
        <v>4050</v>
      </c>
      <c r="D695" t="s">
        <v>89</v>
      </c>
      <c r="E695" s="16" t="s">
        <v>90</v>
      </c>
      <c r="G695" s="7"/>
      <c r="I695" s="7"/>
      <c r="K695" t="str">
        <f t="shared" si="30"/>
        <v/>
      </c>
      <c r="L695" t="str">
        <f t="shared" si="31"/>
        <v/>
      </c>
      <c r="M695" t="str">
        <f t="shared" si="32"/>
        <v>2025-12</v>
      </c>
    </row>
    <row r="696" spans="1:13" x14ac:dyDescent="0.25">
      <c r="A696" s="1">
        <v>46014</v>
      </c>
      <c r="B696" t="s">
        <v>91</v>
      </c>
      <c r="C696" s="2">
        <v>6000</v>
      </c>
      <c r="D696" t="s">
        <v>89</v>
      </c>
      <c r="E696" s="16" t="s">
        <v>90</v>
      </c>
      <c r="G696" s="7"/>
      <c r="I696" s="7"/>
      <c r="K696" t="str">
        <f t="shared" si="30"/>
        <v/>
      </c>
      <c r="L696" t="str">
        <f t="shared" si="31"/>
        <v/>
      </c>
      <c r="M696" t="str">
        <f t="shared" si="32"/>
        <v>2025-12</v>
      </c>
    </row>
    <row r="697" spans="1:13" x14ac:dyDescent="0.25">
      <c r="A697" s="1">
        <v>46014</v>
      </c>
      <c r="B697" t="s">
        <v>30</v>
      </c>
      <c r="C697" s="2">
        <v>17000</v>
      </c>
      <c r="D697" t="s">
        <v>89</v>
      </c>
      <c r="E697" s="16" t="s">
        <v>90</v>
      </c>
      <c r="G697" s="7"/>
      <c r="I697" s="7"/>
      <c r="K697" t="str">
        <f t="shared" si="30"/>
        <v/>
      </c>
      <c r="L697" t="str">
        <f t="shared" si="31"/>
        <v/>
      </c>
      <c r="M697" t="str">
        <f t="shared" si="32"/>
        <v>2025-12</v>
      </c>
    </row>
    <row r="698" spans="1:13" x14ac:dyDescent="0.25">
      <c r="A698" s="1">
        <v>46014</v>
      </c>
      <c r="B698" t="s">
        <v>24</v>
      </c>
      <c r="C698" s="2">
        <v>1500</v>
      </c>
      <c r="D698" t="s">
        <v>89</v>
      </c>
      <c r="E698" s="16" t="s">
        <v>90</v>
      </c>
      <c r="G698" s="7"/>
      <c r="I698" s="7"/>
      <c r="K698" t="str">
        <f t="shared" si="30"/>
        <v/>
      </c>
      <c r="L698" t="str">
        <f t="shared" si="31"/>
        <v/>
      </c>
      <c r="M698" t="str">
        <f t="shared" si="32"/>
        <v>2025-12</v>
      </c>
    </row>
    <row r="699" spans="1:13" x14ac:dyDescent="0.25">
      <c r="A699" s="1">
        <v>46020</v>
      </c>
      <c r="B699" t="s">
        <v>92</v>
      </c>
      <c r="C699" s="2">
        <v>1350</v>
      </c>
      <c r="D699" t="s">
        <v>89</v>
      </c>
      <c r="E699" s="16" t="s">
        <v>90</v>
      </c>
      <c r="G699" s="7"/>
      <c r="I699" s="7"/>
      <c r="K699" t="str">
        <f t="shared" si="30"/>
        <v/>
      </c>
      <c r="L699" t="str">
        <f t="shared" si="31"/>
        <v/>
      </c>
      <c r="M699" t="str">
        <f t="shared" si="32"/>
        <v>2025-12</v>
      </c>
    </row>
    <row r="700" spans="1:13" x14ac:dyDescent="0.25">
      <c r="A700" s="1">
        <v>46020</v>
      </c>
      <c r="B700" t="s">
        <v>27</v>
      </c>
      <c r="C700" s="2">
        <v>1050</v>
      </c>
      <c r="D700" t="s">
        <v>89</v>
      </c>
      <c r="E700" s="16" t="s">
        <v>90</v>
      </c>
      <c r="G700" s="7"/>
      <c r="I700" s="7"/>
      <c r="K700" t="str">
        <f t="shared" si="30"/>
        <v/>
      </c>
      <c r="L700" t="str">
        <f t="shared" si="31"/>
        <v/>
      </c>
      <c r="M700" t="str">
        <f t="shared" si="32"/>
        <v>2025-12</v>
      </c>
    </row>
    <row r="701" spans="1:13" x14ac:dyDescent="0.25">
      <c r="A701" s="1">
        <v>46020</v>
      </c>
      <c r="B701" t="s">
        <v>96</v>
      </c>
      <c r="C701" s="2">
        <v>1000</v>
      </c>
      <c r="D701" t="s">
        <v>89</v>
      </c>
      <c r="E701" s="16" t="s">
        <v>90</v>
      </c>
      <c r="G701" s="7"/>
      <c r="I701" s="7"/>
      <c r="K701" t="str">
        <f t="shared" si="30"/>
        <v/>
      </c>
      <c r="L701" t="str">
        <f t="shared" si="31"/>
        <v/>
      </c>
      <c r="M701" t="str">
        <f t="shared" si="32"/>
        <v>2025-12</v>
      </c>
    </row>
    <row r="702" spans="1:13" x14ac:dyDescent="0.25">
      <c r="A702" s="1">
        <v>46020</v>
      </c>
      <c r="B702" t="s">
        <v>91</v>
      </c>
      <c r="C702" s="2">
        <v>6000</v>
      </c>
      <c r="D702" t="s">
        <v>89</v>
      </c>
      <c r="E702" s="16" t="s">
        <v>90</v>
      </c>
      <c r="G702" s="7"/>
      <c r="I702" s="7"/>
      <c r="K702" t="str">
        <f t="shared" si="30"/>
        <v/>
      </c>
      <c r="L702" t="str">
        <f t="shared" si="31"/>
        <v/>
      </c>
      <c r="M702" t="str">
        <f t="shared" si="32"/>
        <v>2025-12</v>
      </c>
    </row>
    <row r="703" spans="1:13" x14ac:dyDescent="0.25">
      <c r="A703" s="1">
        <v>46020</v>
      </c>
      <c r="B703" t="s">
        <v>108</v>
      </c>
      <c r="C703" s="2">
        <v>6750</v>
      </c>
      <c r="D703" t="s">
        <v>89</v>
      </c>
      <c r="E703" s="16" t="s">
        <v>90</v>
      </c>
      <c r="G703" s="7"/>
      <c r="I703" s="7"/>
      <c r="K703" t="str">
        <f t="shared" si="30"/>
        <v/>
      </c>
      <c r="L703" t="str">
        <f t="shared" si="31"/>
        <v/>
      </c>
      <c r="M703" t="str">
        <f t="shared" si="32"/>
        <v>2025-12</v>
      </c>
    </row>
    <row r="704" spans="1:13" x14ac:dyDescent="0.25">
      <c r="A704" s="1">
        <v>46021</v>
      </c>
      <c r="B704" t="s">
        <v>92</v>
      </c>
      <c r="C704" s="2">
        <v>2700</v>
      </c>
      <c r="D704" t="s">
        <v>89</v>
      </c>
      <c r="E704" s="16" t="s">
        <v>90</v>
      </c>
      <c r="G704" s="7"/>
      <c r="I704" s="7"/>
      <c r="K704" t="str">
        <f t="shared" si="30"/>
        <v/>
      </c>
      <c r="L704" t="str">
        <f t="shared" si="31"/>
        <v/>
      </c>
      <c r="M704" t="str">
        <f t="shared" si="32"/>
        <v>2025-12</v>
      </c>
    </row>
    <row r="705" spans="1:13" x14ac:dyDescent="0.25">
      <c r="A705" s="1">
        <v>46021</v>
      </c>
      <c r="B705" t="s">
        <v>29</v>
      </c>
      <c r="C705" s="2">
        <v>3600</v>
      </c>
      <c r="D705" t="s">
        <v>89</v>
      </c>
      <c r="E705" s="16" t="s">
        <v>90</v>
      </c>
      <c r="G705" s="7"/>
      <c r="I705" s="7"/>
      <c r="K705" t="str">
        <f t="shared" si="30"/>
        <v/>
      </c>
      <c r="L705" t="str">
        <f t="shared" si="31"/>
        <v/>
      </c>
      <c r="M705" t="str">
        <f t="shared" si="32"/>
        <v>2025-12</v>
      </c>
    </row>
    <row r="706" spans="1:13" x14ac:dyDescent="0.25">
      <c r="A706" s="1">
        <v>46021</v>
      </c>
      <c r="B706" t="s">
        <v>34</v>
      </c>
      <c r="C706" s="2">
        <v>10000</v>
      </c>
      <c r="D706" t="s">
        <v>89</v>
      </c>
      <c r="E706" s="16" t="s">
        <v>90</v>
      </c>
      <c r="G706" s="7"/>
      <c r="I706" s="7"/>
      <c r="K706" t="str">
        <f t="shared" ref="K706:K769" si="33">IF(AND(L706&lt;&gt;"",C706&gt;0),L706/C706,"")</f>
        <v/>
      </c>
      <c r="L706" t="str">
        <f t="shared" ref="L706:L769" si="34">IF(AND(D706="FINALIZADO",H706&lt;&gt;""),VALUE(LEFT(H706,FIND("h",H706)-1))*60+VALUE(MID(H706,FIND("h",H706)+2,FIND("min",H706)-FIND("h",H706)-2)),"")</f>
        <v/>
      </c>
      <c r="M706" t="str">
        <f t="shared" ref="M706:M769" si="35">TEXT(YEAR(A706),"0000")&amp;"-"&amp;TEXT(MONTH(A706),"00")</f>
        <v>2025-12</v>
      </c>
    </row>
    <row r="707" spans="1:13" x14ac:dyDescent="0.25">
      <c r="A707" s="1">
        <v>46021</v>
      </c>
      <c r="B707" t="s">
        <v>35</v>
      </c>
      <c r="C707" s="2">
        <v>10000</v>
      </c>
      <c r="D707" t="s">
        <v>89</v>
      </c>
      <c r="E707" s="16" t="s">
        <v>90</v>
      </c>
      <c r="G707" s="7"/>
      <c r="I707" s="7"/>
      <c r="K707" t="str">
        <f t="shared" si="33"/>
        <v/>
      </c>
      <c r="L707" t="str">
        <f t="shared" si="34"/>
        <v/>
      </c>
      <c r="M707" t="str">
        <f t="shared" si="35"/>
        <v>2025-12</v>
      </c>
    </row>
    <row r="708" spans="1:13" x14ac:dyDescent="0.25">
      <c r="A708" s="1">
        <v>46021</v>
      </c>
      <c r="B708" t="s">
        <v>33</v>
      </c>
      <c r="C708" s="2">
        <v>10400</v>
      </c>
      <c r="D708" t="s">
        <v>89</v>
      </c>
      <c r="E708" s="16" t="s">
        <v>90</v>
      </c>
      <c r="G708" s="7"/>
      <c r="I708" s="7"/>
      <c r="K708" t="str">
        <f t="shared" si="33"/>
        <v/>
      </c>
      <c r="L708" t="str">
        <f t="shared" si="34"/>
        <v/>
      </c>
      <c r="M708" t="str">
        <f t="shared" si="35"/>
        <v>2025-12</v>
      </c>
    </row>
    <row r="709" spans="1:13" x14ac:dyDescent="0.25">
      <c r="A709" s="1">
        <v>46021</v>
      </c>
      <c r="B709" t="s">
        <v>99</v>
      </c>
      <c r="C709" s="2">
        <v>1100</v>
      </c>
      <c r="D709" t="s">
        <v>89</v>
      </c>
      <c r="E709" s="16" t="s">
        <v>90</v>
      </c>
      <c r="G709" s="7"/>
      <c r="I709" s="7"/>
      <c r="K709" t="str">
        <f t="shared" si="33"/>
        <v/>
      </c>
      <c r="L709" t="str">
        <f t="shared" si="34"/>
        <v/>
      </c>
      <c r="M709" t="str">
        <f t="shared" si="35"/>
        <v>2025-12</v>
      </c>
    </row>
    <row r="710" spans="1:13" x14ac:dyDescent="0.25">
      <c r="A710" s="1">
        <v>46027</v>
      </c>
      <c r="B710" t="s">
        <v>91</v>
      </c>
      <c r="C710" s="2">
        <v>3000</v>
      </c>
      <c r="D710" t="s">
        <v>89</v>
      </c>
      <c r="E710" s="16" t="s">
        <v>90</v>
      </c>
      <c r="G710" s="7"/>
      <c r="I710" s="7"/>
      <c r="K710" t="str">
        <f t="shared" si="33"/>
        <v/>
      </c>
      <c r="L710" t="str">
        <f t="shared" si="34"/>
        <v/>
      </c>
      <c r="M710" t="str">
        <f t="shared" si="35"/>
        <v>2026-01</v>
      </c>
    </row>
    <row r="711" spans="1:13" x14ac:dyDescent="0.25">
      <c r="A711" s="1">
        <v>46027</v>
      </c>
      <c r="B711" t="s">
        <v>91</v>
      </c>
      <c r="C711" s="2">
        <v>3000</v>
      </c>
      <c r="D711" t="s">
        <v>89</v>
      </c>
      <c r="E711" s="16" t="s">
        <v>90</v>
      </c>
      <c r="G711" s="7"/>
      <c r="I711" s="7"/>
      <c r="K711" t="str">
        <f t="shared" si="33"/>
        <v/>
      </c>
      <c r="L711" t="str">
        <f t="shared" si="34"/>
        <v/>
      </c>
      <c r="M711" t="str">
        <f t="shared" si="35"/>
        <v>2026-01</v>
      </c>
    </row>
    <row r="712" spans="1:13" x14ac:dyDescent="0.25">
      <c r="A712" s="1">
        <v>46027</v>
      </c>
      <c r="B712" t="s">
        <v>92</v>
      </c>
      <c r="C712" s="2">
        <v>1350</v>
      </c>
      <c r="D712" t="s">
        <v>89</v>
      </c>
      <c r="E712" s="16" t="s">
        <v>90</v>
      </c>
      <c r="G712" s="7"/>
      <c r="I712" s="7"/>
      <c r="K712" t="str">
        <f t="shared" si="33"/>
        <v/>
      </c>
      <c r="L712" t="str">
        <f t="shared" si="34"/>
        <v/>
      </c>
      <c r="M712" t="str">
        <f t="shared" si="35"/>
        <v>2026-01</v>
      </c>
    </row>
    <row r="713" spans="1:13" x14ac:dyDescent="0.25">
      <c r="A713" s="1">
        <v>46027</v>
      </c>
      <c r="B713" t="s">
        <v>92</v>
      </c>
      <c r="C713" s="2">
        <v>13500</v>
      </c>
      <c r="D713" t="s">
        <v>89</v>
      </c>
      <c r="E713" s="16" t="s">
        <v>90</v>
      </c>
      <c r="G713" s="7"/>
      <c r="I713" s="7"/>
      <c r="K713" t="str">
        <f t="shared" si="33"/>
        <v/>
      </c>
      <c r="L713" t="str">
        <f t="shared" si="34"/>
        <v/>
      </c>
      <c r="M713" t="str">
        <f t="shared" si="35"/>
        <v>2026-01</v>
      </c>
    </row>
    <row r="714" spans="1:13" x14ac:dyDescent="0.25">
      <c r="A714" s="1">
        <v>46027</v>
      </c>
      <c r="B714" t="s">
        <v>92</v>
      </c>
      <c r="C714" s="2">
        <v>1350</v>
      </c>
      <c r="D714" t="s">
        <v>89</v>
      </c>
      <c r="E714" s="16" t="s">
        <v>90</v>
      </c>
      <c r="G714" s="7"/>
      <c r="I714" s="7"/>
      <c r="K714" t="str">
        <f t="shared" si="33"/>
        <v/>
      </c>
      <c r="L714" t="str">
        <f t="shared" si="34"/>
        <v/>
      </c>
      <c r="M714" t="str">
        <f t="shared" si="35"/>
        <v>2026-01</v>
      </c>
    </row>
    <row r="715" spans="1:13" x14ac:dyDescent="0.25">
      <c r="A715" s="1">
        <v>46027</v>
      </c>
      <c r="B715" t="s">
        <v>92</v>
      </c>
      <c r="C715" s="2">
        <v>1350</v>
      </c>
      <c r="D715" t="s">
        <v>89</v>
      </c>
      <c r="E715" s="16" t="s">
        <v>90</v>
      </c>
      <c r="G715" s="7"/>
      <c r="I715" s="7"/>
      <c r="K715" t="str">
        <f t="shared" si="33"/>
        <v/>
      </c>
      <c r="L715" t="str">
        <f t="shared" si="34"/>
        <v/>
      </c>
      <c r="M715" t="str">
        <f t="shared" si="35"/>
        <v>2026-01</v>
      </c>
    </row>
    <row r="716" spans="1:13" x14ac:dyDescent="0.25">
      <c r="A716" s="1">
        <v>46027</v>
      </c>
      <c r="B716" t="s">
        <v>27</v>
      </c>
      <c r="C716" s="2">
        <v>2100</v>
      </c>
      <c r="D716" t="s">
        <v>89</v>
      </c>
      <c r="E716" s="16" t="s">
        <v>90</v>
      </c>
      <c r="G716" s="7"/>
      <c r="I716" s="7"/>
      <c r="K716" t="str">
        <f t="shared" si="33"/>
        <v/>
      </c>
      <c r="L716" t="str">
        <f t="shared" si="34"/>
        <v/>
      </c>
      <c r="M716" t="str">
        <f t="shared" si="35"/>
        <v>2026-01</v>
      </c>
    </row>
    <row r="717" spans="1:13" x14ac:dyDescent="0.25">
      <c r="A717" s="1">
        <v>46028</v>
      </c>
      <c r="B717" t="s">
        <v>17</v>
      </c>
      <c r="C717" s="2">
        <v>400</v>
      </c>
      <c r="D717" t="s">
        <v>89</v>
      </c>
      <c r="E717" s="16" t="s">
        <v>90</v>
      </c>
      <c r="G717" s="7"/>
      <c r="I717" s="7"/>
      <c r="K717" t="str">
        <f t="shared" si="33"/>
        <v/>
      </c>
      <c r="L717" t="str">
        <f t="shared" si="34"/>
        <v/>
      </c>
      <c r="M717" t="str">
        <f t="shared" si="35"/>
        <v>2026-01</v>
      </c>
    </row>
    <row r="718" spans="1:13" x14ac:dyDescent="0.25">
      <c r="A718" s="1">
        <v>46028</v>
      </c>
      <c r="B718" t="s">
        <v>27</v>
      </c>
      <c r="C718" s="2">
        <v>2100</v>
      </c>
      <c r="D718" t="s">
        <v>89</v>
      </c>
      <c r="E718" s="16" t="s">
        <v>90</v>
      </c>
      <c r="G718" s="7"/>
      <c r="I718" s="7"/>
      <c r="K718" t="str">
        <f t="shared" si="33"/>
        <v/>
      </c>
      <c r="L718" t="str">
        <f t="shared" si="34"/>
        <v/>
      </c>
      <c r="M718" t="str">
        <f t="shared" si="35"/>
        <v>2026-01</v>
      </c>
    </row>
    <row r="719" spans="1:13" x14ac:dyDescent="0.25">
      <c r="A719" s="1">
        <v>46028</v>
      </c>
      <c r="B719" t="s">
        <v>100</v>
      </c>
      <c r="C719" s="2">
        <v>1000</v>
      </c>
      <c r="D719" t="s">
        <v>89</v>
      </c>
      <c r="E719" s="16" t="s">
        <v>90</v>
      </c>
      <c r="G719" s="7"/>
      <c r="I719" s="7"/>
      <c r="K719" t="str">
        <f t="shared" si="33"/>
        <v/>
      </c>
      <c r="L719" t="str">
        <f t="shared" si="34"/>
        <v/>
      </c>
      <c r="M719" t="str">
        <f t="shared" si="35"/>
        <v>2026-01</v>
      </c>
    </row>
    <row r="720" spans="1:13" x14ac:dyDescent="0.25">
      <c r="A720" s="1">
        <v>46028</v>
      </c>
      <c r="B720" t="s">
        <v>11</v>
      </c>
      <c r="C720" s="2">
        <v>2000</v>
      </c>
      <c r="D720" t="s">
        <v>89</v>
      </c>
      <c r="E720" s="16" t="s">
        <v>90</v>
      </c>
      <c r="G720" s="7"/>
      <c r="I720" s="7"/>
      <c r="K720" t="str">
        <f t="shared" si="33"/>
        <v/>
      </c>
      <c r="L720" t="str">
        <f t="shared" si="34"/>
        <v/>
      </c>
      <c r="M720" t="str">
        <f t="shared" si="35"/>
        <v>2026-01</v>
      </c>
    </row>
    <row r="721" spans="1:13" x14ac:dyDescent="0.25">
      <c r="A721" s="1">
        <v>46028</v>
      </c>
      <c r="B721" t="s">
        <v>92</v>
      </c>
      <c r="C721" s="2">
        <v>4050</v>
      </c>
      <c r="D721" t="s">
        <v>89</v>
      </c>
      <c r="E721" s="16" t="s">
        <v>90</v>
      </c>
      <c r="G721" s="7"/>
      <c r="I721" s="7"/>
      <c r="K721" t="str">
        <f t="shared" si="33"/>
        <v/>
      </c>
      <c r="L721" t="str">
        <f t="shared" si="34"/>
        <v/>
      </c>
      <c r="M721" t="str">
        <f t="shared" si="35"/>
        <v>2026-01</v>
      </c>
    </row>
    <row r="722" spans="1:13" x14ac:dyDescent="0.25">
      <c r="A722" s="1">
        <v>46028</v>
      </c>
      <c r="B722" t="s">
        <v>99</v>
      </c>
      <c r="C722" s="2">
        <v>2200</v>
      </c>
      <c r="D722" t="s">
        <v>89</v>
      </c>
      <c r="E722" s="16" t="s">
        <v>90</v>
      </c>
      <c r="G722" s="7"/>
      <c r="I722" s="7"/>
      <c r="K722" t="str">
        <f t="shared" si="33"/>
        <v/>
      </c>
      <c r="L722" t="str">
        <f t="shared" si="34"/>
        <v/>
      </c>
      <c r="M722" t="str">
        <f t="shared" si="35"/>
        <v>2026-01</v>
      </c>
    </row>
    <row r="723" spans="1:13" x14ac:dyDescent="0.25">
      <c r="A723" s="1">
        <v>46029</v>
      </c>
      <c r="B723" t="s">
        <v>92</v>
      </c>
      <c r="C723" s="2">
        <v>1350</v>
      </c>
      <c r="D723" t="s">
        <v>89</v>
      </c>
      <c r="E723" s="16" t="s">
        <v>90</v>
      </c>
      <c r="G723" s="7"/>
      <c r="I723" s="7"/>
      <c r="K723" t="str">
        <f t="shared" si="33"/>
        <v/>
      </c>
      <c r="L723" t="str">
        <f t="shared" si="34"/>
        <v/>
      </c>
      <c r="M723" t="str">
        <f t="shared" si="35"/>
        <v>2026-01</v>
      </c>
    </row>
    <row r="724" spans="1:13" x14ac:dyDescent="0.25">
      <c r="A724" s="1">
        <v>46029</v>
      </c>
      <c r="B724" t="s">
        <v>92</v>
      </c>
      <c r="C724" s="2">
        <v>5400</v>
      </c>
      <c r="D724" t="s">
        <v>89</v>
      </c>
      <c r="E724" s="16" t="s">
        <v>90</v>
      </c>
      <c r="G724" s="7"/>
      <c r="I724" s="7"/>
      <c r="K724" t="str">
        <f t="shared" si="33"/>
        <v/>
      </c>
      <c r="L724" t="str">
        <f t="shared" si="34"/>
        <v/>
      </c>
      <c r="M724" t="str">
        <f t="shared" si="35"/>
        <v>2026-01</v>
      </c>
    </row>
    <row r="725" spans="1:13" x14ac:dyDescent="0.25">
      <c r="A725" s="1">
        <v>46029</v>
      </c>
      <c r="B725" t="s">
        <v>92</v>
      </c>
      <c r="C725" s="2">
        <v>1350</v>
      </c>
      <c r="D725" t="s">
        <v>89</v>
      </c>
      <c r="E725" s="16" t="s">
        <v>90</v>
      </c>
      <c r="G725" s="7"/>
      <c r="I725" s="7"/>
      <c r="K725" t="str">
        <f t="shared" si="33"/>
        <v/>
      </c>
      <c r="L725" t="str">
        <f t="shared" si="34"/>
        <v/>
      </c>
      <c r="M725" t="str">
        <f t="shared" si="35"/>
        <v>2026-01</v>
      </c>
    </row>
    <row r="726" spans="1:13" x14ac:dyDescent="0.25">
      <c r="A726" s="1">
        <v>46029</v>
      </c>
      <c r="B726" t="s">
        <v>92</v>
      </c>
      <c r="C726" s="2">
        <v>1350</v>
      </c>
      <c r="D726" t="s">
        <v>89</v>
      </c>
      <c r="E726" s="16" t="s">
        <v>90</v>
      </c>
      <c r="G726" s="7"/>
      <c r="I726" s="7"/>
      <c r="K726" t="str">
        <f t="shared" si="33"/>
        <v/>
      </c>
      <c r="L726" t="str">
        <f t="shared" si="34"/>
        <v/>
      </c>
      <c r="M726" t="str">
        <f t="shared" si="35"/>
        <v>2026-01</v>
      </c>
    </row>
    <row r="727" spans="1:13" x14ac:dyDescent="0.25">
      <c r="A727" s="1">
        <v>46030</v>
      </c>
      <c r="B727" t="s">
        <v>92</v>
      </c>
      <c r="C727" s="2">
        <v>4050</v>
      </c>
      <c r="D727" t="s">
        <v>89</v>
      </c>
      <c r="E727" s="16" t="s">
        <v>90</v>
      </c>
      <c r="G727" s="7"/>
      <c r="I727" s="7"/>
      <c r="K727" t="str">
        <f t="shared" si="33"/>
        <v/>
      </c>
      <c r="L727" t="str">
        <f t="shared" si="34"/>
        <v/>
      </c>
      <c r="M727" t="str">
        <f t="shared" si="35"/>
        <v>2026-01</v>
      </c>
    </row>
    <row r="728" spans="1:13" x14ac:dyDescent="0.25">
      <c r="A728" s="1">
        <v>46031</v>
      </c>
      <c r="B728" t="s">
        <v>92</v>
      </c>
      <c r="C728" s="2">
        <v>1350</v>
      </c>
      <c r="D728" t="s">
        <v>89</v>
      </c>
      <c r="E728" s="16" t="s">
        <v>90</v>
      </c>
      <c r="G728" s="7"/>
      <c r="I728" s="7"/>
      <c r="K728" t="str">
        <f t="shared" si="33"/>
        <v/>
      </c>
      <c r="L728" t="str">
        <f t="shared" si="34"/>
        <v/>
      </c>
      <c r="M728" t="str">
        <f t="shared" si="35"/>
        <v>2026-01</v>
      </c>
    </row>
    <row r="729" spans="1:13" x14ac:dyDescent="0.25">
      <c r="A729" s="1">
        <v>46031</v>
      </c>
      <c r="B729" t="s">
        <v>29</v>
      </c>
      <c r="C729" s="2">
        <v>900</v>
      </c>
      <c r="D729" t="s">
        <v>89</v>
      </c>
      <c r="E729" s="16" t="s">
        <v>90</v>
      </c>
      <c r="G729" s="7"/>
      <c r="I729" s="7"/>
      <c r="K729" t="str">
        <f t="shared" si="33"/>
        <v/>
      </c>
      <c r="L729" t="str">
        <f t="shared" si="34"/>
        <v/>
      </c>
      <c r="M729" t="str">
        <f t="shared" si="35"/>
        <v>2026-01</v>
      </c>
    </row>
    <row r="730" spans="1:13" x14ac:dyDescent="0.25">
      <c r="A730" s="1">
        <v>46031</v>
      </c>
      <c r="B730" t="s">
        <v>106</v>
      </c>
      <c r="C730" s="2">
        <v>1250</v>
      </c>
      <c r="D730" t="s">
        <v>89</v>
      </c>
      <c r="E730" s="16" t="s">
        <v>90</v>
      </c>
      <c r="G730" s="7"/>
      <c r="I730" s="7"/>
      <c r="K730" t="str">
        <f t="shared" si="33"/>
        <v/>
      </c>
      <c r="L730" t="str">
        <f t="shared" si="34"/>
        <v/>
      </c>
      <c r="M730" t="str">
        <f t="shared" si="35"/>
        <v>2026-01</v>
      </c>
    </row>
    <row r="731" spans="1:13" x14ac:dyDescent="0.25">
      <c r="A731" s="1">
        <v>46031</v>
      </c>
      <c r="B731" t="s">
        <v>31</v>
      </c>
      <c r="C731" s="2">
        <v>10000</v>
      </c>
      <c r="D731" t="s">
        <v>89</v>
      </c>
      <c r="E731" s="16" t="s">
        <v>90</v>
      </c>
      <c r="G731" s="7"/>
      <c r="I731" s="7"/>
      <c r="K731" t="str">
        <f t="shared" si="33"/>
        <v/>
      </c>
      <c r="L731" t="str">
        <f t="shared" si="34"/>
        <v/>
      </c>
      <c r="M731" t="str">
        <f t="shared" si="35"/>
        <v>2026-01</v>
      </c>
    </row>
    <row r="732" spans="1:13" x14ac:dyDescent="0.25">
      <c r="A732" s="1">
        <v>46031</v>
      </c>
      <c r="B732" t="s">
        <v>28</v>
      </c>
      <c r="C732" s="2">
        <v>3000</v>
      </c>
      <c r="D732" t="s">
        <v>89</v>
      </c>
      <c r="E732" s="16" t="s">
        <v>90</v>
      </c>
      <c r="G732" s="7"/>
      <c r="I732" s="7"/>
      <c r="K732" t="str">
        <f t="shared" si="33"/>
        <v/>
      </c>
      <c r="L732" t="str">
        <f t="shared" si="34"/>
        <v/>
      </c>
      <c r="M732" t="str">
        <f t="shared" si="35"/>
        <v>2026-01</v>
      </c>
    </row>
    <row r="733" spans="1:13" x14ac:dyDescent="0.25">
      <c r="A733" s="1">
        <v>46031</v>
      </c>
      <c r="B733" t="s">
        <v>99</v>
      </c>
      <c r="C733" s="2">
        <v>4000</v>
      </c>
      <c r="D733" t="s">
        <v>89</v>
      </c>
      <c r="E733" s="16" t="s">
        <v>90</v>
      </c>
      <c r="G733" s="7"/>
      <c r="I733" s="7"/>
      <c r="K733" t="str">
        <f t="shared" si="33"/>
        <v/>
      </c>
      <c r="L733" t="str">
        <f t="shared" si="34"/>
        <v/>
      </c>
      <c r="M733" t="str">
        <f t="shared" si="35"/>
        <v>2026-01</v>
      </c>
    </row>
    <row r="734" spans="1:13" x14ac:dyDescent="0.25">
      <c r="A734" s="1">
        <v>46031</v>
      </c>
      <c r="B734" t="s">
        <v>30</v>
      </c>
      <c r="C734" s="2">
        <v>8500</v>
      </c>
      <c r="D734" t="s">
        <v>89</v>
      </c>
      <c r="E734" s="16" t="s">
        <v>90</v>
      </c>
      <c r="G734" s="7"/>
      <c r="I734" s="7"/>
      <c r="K734" t="str">
        <f t="shared" si="33"/>
        <v/>
      </c>
      <c r="L734" t="str">
        <f t="shared" si="34"/>
        <v/>
      </c>
      <c r="M734" t="str">
        <f t="shared" si="35"/>
        <v>2026-01</v>
      </c>
    </row>
    <row r="735" spans="1:13" x14ac:dyDescent="0.25">
      <c r="A735" s="1">
        <v>46031</v>
      </c>
      <c r="B735" t="s">
        <v>109</v>
      </c>
      <c r="C735" s="2">
        <v>1340</v>
      </c>
      <c r="D735" t="s">
        <v>89</v>
      </c>
      <c r="E735" s="16" t="s">
        <v>90</v>
      </c>
      <c r="G735" s="7"/>
      <c r="I735" s="7"/>
      <c r="K735" t="str">
        <f t="shared" si="33"/>
        <v/>
      </c>
      <c r="L735" t="str">
        <f t="shared" si="34"/>
        <v/>
      </c>
      <c r="M735" t="str">
        <f t="shared" si="35"/>
        <v>2026-01</v>
      </c>
    </row>
    <row r="736" spans="1:13" x14ac:dyDescent="0.25">
      <c r="A736" s="1">
        <v>46034</v>
      </c>
      <c r="B736" t="s">
        <v>96</v>
      </c>
      <c r="C736" s="2">
        <v>1000</v>
      </c>
      <c r="D736" t="s">
        <v>89</v>
      </c>
      <c r="E736" s="16" t="s">
        <v>90</v>
      </c>
      <c r="G736" s="7"/>
      <c r="I736" s="7"/>
      <c r="K736" t="str">
        <f t="shared" si="33"/>
        <v/>
      </c>
      <c r="L736" t="str">
        <f t="shared" si="34"/>
        <v/>
      </c>
      <c r="M736" t="str">
        <f t="shared" si="35"/>
        <v>2026-01</v>
      </c>
    </row>
    <row r="737" spans="1:13" x14ac:dyDescent="0.25">
      <c r="A737" s="1">
        <v>46034</v>
      </c>
      <c r="B737" t="s">
        <v>29</v>
      </c>
      <c r="C737" s="2">
        <v>1800</v>
      </c>
      <c r="D737" t="s">
        <v>89</v>
      </c>
      <c r="E737" s="16" t="s">
        <v>90</v>
      </c>
      <c r="G737" s="7"/>
      <c r="I737" s="7"/>
      <c r="K737" t="str">
        <f t="shared" si="33"/>
        <v/>
      </c>
      <c r="L737" t="str">
        <f t="shared" si="34"/>
        <v/>
      </c>
      <c r="M737" t="str">
        <f t="shared" si="35"/>
        <v>2026-01</v>
      </c>
    </row>
    <row r="738" spans="1:13" x14ac:dyDescent="0.25">
      <c r="A738" s="1">
        <v>46034</v>
      </c>
      <c r="B738" t="s">
        <v>10</v>
      </c>
      <c r="C738" s="2">
        <v>1200</v>
      </c>
      <c r="D738" t="s">
        <v>89</v>
      </c>
      <c r="E738" s="16" t="s">
        <v>90</v>
      </c>
      <c r="G738" s="7"/>
      <c r="I738" s="7"/>
      <c r="K738" t="str">
        <f t="shared" si="33"/>
        <v/>
      </c>
      <c r="L738" t="str">
        <f t="shared" si="34"/>
        <v/>
      </c>
      <c r="M738" t="str">
        <f t="shared" si="35"/>
        <v>2026-01</v>
      </c>
    </row>
    <row r="739" spans="1:13" x14ac:dyDescent="0.25">
      <c r="A739" s="1">
        <v>46034</v>
      </c>
      <c r="B739" t="s">
        <v>91</v>
      </c>
      <c r="C739" s="2">
        <v>7500</v>
      </c>
      <c r="D739" t="s">
        <v>89</v>
      </c>
      <c r="E739" s="16" t="s">
        <v>90</v>
      </c>
      <c r="G739" s="7"/>
      <c r="I739" s="7"/>
      <c r="K739" t="str">
        <f t="shared" si="33"/>
        <v/>
      </c>
      <c r="L739" t="str">
        <f t="shared" si="34"/>
        <v/>
      </c>
      <c r="M739" t="str">
        <f t="shared" si="35"/>
        <v>2026-01</v>
      </c>
    </row>
    <row r="740" spans="1:13" x14ac:dyDescent="0.25">
      <c r="A740" s="1">
        <v>46034</v>
      </c>
      <c r="B740" t="s">
        <v>33</v>
      </c>
      <c r="C740" s="2">
        <v>10400</v>
      </c>
      <c r="D740" t="s">
        <v>89</v>
      </c>
      <c r="E740" s="16" t="s">
        <v>90</v>
      </c>
      <c r="G740" s="7"/>
      <c r="I740" s="7"/>
      <c r="K740" t="str">
        <f t="shared" si="33"/>
        <v/>
      </c>
      <c r="L740" t="str">
        <f t="shared" si="34"/>
        <v/>
      </c>
      <c r="M740" t="str">
        <f t="shared" si="35"/>
        <v>2026-01</v>
      </c>
    </row>
    <row r="741" spans="1:13" x14ac:dyDescent="0.25">
      <c r="A741" s="1">
        <v>46034</v>
      </c>
      <c r="B741" t="s">
        <v>34</v>
      </c>
      <c r="C741" s="2">
        <v>10000</v>
      </c>
      <c r="D741" t="s">
        <v>89</v>
      </c>
      <c r="E741" s="16" t="s">
        <v>90</v>
      </c>
      <c r="G741" s="7"/>
      <c r="I741" s="7"/>
      <c r="K741" t="str">
        <f t="shared" si="33"/>
        <v/>
      </c>
      <c r="L741" t="str">
        <f t="shared" si="34"/>
        <v/>
      </c>
      <c r="M741" t="str">
        <f t="shared" si="35"/>
        <v>2026-01</v>
      </c>
    </row>
    <row r="742" spans="1:13" x14ac:dyDescent="0.25">
      <c r="A742" s="1">
        <v>46034</v>
      </c>
      <c r="B742" t="s">
        <v>22</v>
      </c>
      <c r="C742" s="2">
        <v>1000</v>
      </c>
      <c r="D742" t="s">
        <v>89</v>
      </c>
      <c r="E742" s="16" t="s">
        <v>90</v>
      </c>
      <c r="G742" s="7"/>
      <c r="I742" s="7"/>
      <c r="K742" t="str">
        <f t="shared" si="33"/>
        <v/>
      </c>
      <c r="L742" t="str">
        <f t="shared" si="34"/>
        <v/>
      </c>
      <c r="M742" t="str">
        <f t="shared" si="35"/>
        <v>2026-01</v>
      </c>
    </row>
    <row r="743" spans="1:13" x14ac:dyDescent="0.25">
      <c r="A743" s="1">
        <v>46035</v>
      </c>
      <c r="B743" t="s">
        <v>92</v>
      </c>
      <c r="C743" s="2">
        <v>18900</v>
      </c>
      <c r="D743" t="s">
        <v>89</v>
      </c>
      <c r="E743" s="16" t="s">
        <v>90</v>
      </c>
      <c r="G743" s="7"/>
      <c r="I743" s="7"/>
      <c r="K743" t="str">
        <f t="shared" si="33"/>
        <v/>
      </c>
      <c r="L743" t="str">
        <f t="shared" si="34"/>
        <v/>
      </c>
      <c r="M743" t="str">
        <f t="shared" si="35"/>
        <v>2026-01</v>
      </c>
    </row>
    <row r="744" spans="1:13" x14ac:dyDescent="0.25">
      <c r="A744" s="1">
        <v>46035</v>
      </c>
      <c r="B744" t="s">
        <v>92</v>
      </c>
      <c r="C744" s="2">
        <v>12150</v>
      </c>
      <c r="D744" t="s">
        <v>89</v>
      </c>
      <c r="E744" s="16" t="s">
        <v>90</v>
      </c>
      <c r="G744" s="7"/>
      <c r="I744" s="7"/>
      <c r="K744" t="str">
        <f t="shared" si="33"/>
        <v/>
      </c>
      <c r="L744" t="str">
        <f t="shared" si="34"/>
        <v/>
      </c>
      <c r="M744" t="str">
        <f t="shared" si="35"/>
        <v>2026-01</v>
      </c>
    </row>
    <row r="745" spans="1:13" x14ac:dyDescent="0.25">
      <c r="A745" s="1">
        <v>46035</v>
      </c>
      <c r="B745" t="s">
        <v>92</v>
      </c>
      <c r="C745" s="2">
        <v>2700</v>
      </c>
      <c r="D745" t="s">
        <v>89</v>
      </c>
      <c r="E745" s="16" t="s">
        <v>90</v>
      </c>
      <c r="G745" s="7"/>
      <c r="I745" s="7"/>
      <c r="K745" t="str">
        <f t="shared" si="33"/>
        <v/>
      </c>
      <c r="L745" t="str">
        <f t="shared" si="34"/>
        <v/>
      </c>
      <c r="M745" t="str">
        <f t="shared" si="35"/>
        <v>2026-01</v>
      </c>
    </row>
    <row r="746" spans="1:13" x14ac:dyDescent="0.25">
      <c r="A746" s="1">
        <v>46035</v>
      </c>
      <c r="B746" t="s">
        <v>92</v>
      </c>
      <c r="C746" s="2">
        <v>1350</v>
      </c>
      <c r="D746" t="s">
        <v>89</v>
      </c>
      <c r="E746" s="16" t="s">
        <v>90</v>
      </c>
      <c r="G746" s="7"/>
      <c r="I746" s="7"/>
      <c r="K746" t="str">
        <f t="shared" si="33"/>
        <v/>
      </c>
      <c r="L746" t="str">
        <f t="shared" si="34"/>
        <v/>
      </c>
      <c r="M746" t="str">
        <f t="shared" si="35"/>
        <v>2026-01</v>
      </c>
    </row>
    <row r="747" spans="1:13" x14ac:dyDescent="0.25">
      <c r="A747" s="1">
        <v>46035</v>
      </c>
      <c r="B747" t="s">
        <v>92</v>
      </c>
      <c r="C747" s="2">
        <v>8400</v>
      </c>
      <c r="D747" t="s">
        <v>89</v>
      </c>
      <c r="E747" s="16" t="s">
        <v>90</v>
      </c>
      <c r="G747" s="7"/>
      <c r="I747" s="7"/>
      <c r="K747" t="str">
        <f t="shared" si="33"/>
        <v/>
      </c>
      <c r="L747" t="str">
        <f t="shared" si="34"/>
        <v/>
      </c>
      <c r="M747" t="str">
        <f t="shared" si="35"/>
        <v>2026-01</v>
      </c>
    </row>
    <row r="748" spans="1:13" x14ac:dyDescent="0.25">
      <c r="A748" s="1">
        <v>46035</v>
      </c>
      <c r="B748" t="s">
        <v>35</v>
      </c>
      <c r="C748" s="2">
        <v>10000</v>
      </c>
      <c r="D748" t="s">
        <v>89</v>
      </c>
      <c r="E748" s="16" t="s">
        <v>90</v>
      </c>
      <c r="G748" s="7"/>
      <c r="I748" s="7"/>
      <c r="K748" t="str">
        <f t="shared" si="33"/>
        <v/>
      </c>
      <c r="L748" t="str">
        <f t="shared" si="34"/>
        <v/>
      </c>
      <c r="M748" t="str">
        <f t="shared" si="35"/>
        <v>2026-01</v>
      </c>
    </row>
    <row r="749" spans="1:13" x14ac:dyDescent="0.25">
      <c r="A749" s="1">
        <v>46035</v>
      </c>
      <c r="B749" t="s">
        <v>25</v>
      </c>
      <c r="C749" s="2">
        <v>1000</v>
      </c>
      <c r="D749" t="s">
        <v>89</v>
      </c>
      <c r="E749" s="16" t="s">
        <v>90</v>
      </c>
      <c r="G749" s="7"/>
      <c r="I749" s="7"/>
      <c r="K749" t="str">
        <f t="shared" si="33"/>
        <v/>
      </c>
      <c r="L749" t="str">
        <f t="shared" si="34"/>
        <v/>
      </c>
      <c r="M749" t="str">
        <f t="shared" si="35"/>
        <v>2026-01</v>
      </c>
    </row>
    <row r="750" spans="1:13" x14ac:dyDescent="0.25">
      <c r="A750" s="1">
        <v>46035</v>
      </c>
      <c r="B750" t="s">
        <v>17</v>
      </c>
      <c r="C750" s="2">
        <v>800</v>
      </c>
      <c r="D750" t="s">
        <v>89</v>
      </c>
      <c r="E750" s="16" t="s">
        <v>90</v>
      </c>
      <c r="G750" s="7"/>
      <c r="I750" s="7"/>
      <c r="K750" t="str">
        <f t="shared" si="33"/>
        <v/>
      </c>
      <c r="L750" t="str">
        <f t="shared" si="34"/>
        <v/>
      </c>
      <c r="M750" t="str">
        <f t="shared" si="35"/>
        <v>2026-01</v>
      </c>
    </row>
    <row r="751" spans="1:13" x14ac:dyDescent="0.25">
      <c r="A751" s="1">
        <v>46035</v>
      </c>
      <c r="B751" t="s">
        <v>14</v>
      </c>
      <c r="C751" s="2">
        <v>650</v>
      </c>
      <c r="D751" t="s">
        <v>89</v>
      </c>
      <c r="E751" s="16" t="s">
        <v>90</v>
      </c>
      <c r="G751" s="7"/>
      <c r="I751" s="7"/>
      <c r="K751" t="str">
        <f t="shared" si="33"/>
        <v/>
      </c>
      <c r="L751" t="str">
        <f t="shared" si="34"/>
        <v/>
      </c>
      <c r="M751" t="str">
        <f t="shared" si="35"/>
        <v>2026-01</v>
      </c>
    </row>
    <row r="752" spans="1:13" x14ac:dyDescent="0.25">
      <c r="A752" s="1">
        <v>46035</v>
      </c>
      <c r="B752" t="s">
        <v>91</v>
      </c>
      <c r="C752" s="2">
        <v>9500</v>
      </c>
      <c r="D752" t="s">
        <v>89</v>
      </c>
      <c r="E752" s="16" t="s">
        <v>90</v>
      </c>
      <c r="G752" s="7"/>
      <c r="I752" s="7"/>
      <c r="K752" t="str">
        <f t="shared" si="33"/>
        <v/>
      </c>
      <c r="L752" t="str">
        <f t="shared" si="34"/>
        <v/>
      </c>
      <c r="M752" t="str">
        <f t="shared" si="35"/>
        <v>2026-01</v>
      </c>
    </row>
    <row r="753" spans="1:13" x14ac:dyDescent="0.25">
      <c r="A753" s="1">
        <v>46036</v>
      </c>
      <c r="B753" t="s">
        <v>91</v>
      </c>
      <c r="C753" s="2">
        <v>1500</v>
      </c>
      <c r="D753" t="s">
        <v>89</v>
      </c>
      <c r="E753" s="16" t="s">
        <v>90</v>
      </c>
      <c r="G753" s="7"/>
      <c r="I753" s="7"/>
      <c r="K753" t="str">
        <f t="shared" si="33"/>
        <v/>
      </c>
      <c r="L753" t="str">
        <f t="shared" si="34"/>
        <v/>
      </c>
      <c r="M753" t="str">
        <f t="shared" si="35"/>
        <v>2026-01</v>
      </c>
    </row>
    <row r="754" spans="1:13" x14ac:dyDescent="0.25">
      <c r="A754" s="1">
        <v>46036</v>
      </c>
      <c r="B754" t="s">
        <v>27</v>
      </c>
      <c r="C754" s="2">
        <v>1050</v>
      </c>
      <c r="D754" t="s">
        <v>89</v>
      </c>
      <c r="E754" s="16" t="s">
        <v>90</v>
      </c>
      <c r="G754" s="7"/>
      <c r="I754" s="7"/>
      <c r="K754" t="str">
        <f t="shared" si="33"/>
        <v/>
      </c>
      <c r="L754" t="str">
        <f t="shared" si="34"/>
        <v/>
      </c>
      <c r="M754" t="str">
        <f t="shared" si="35"/>
        <v>2026-01</v>
      </c>
    </row>
    <row r="755" spans="1:13" x14ac:dyDescent="0.25">
      <c r="A755" s="1">
        <v>46036</v>
      </c>
      <c r="B755" t="s">
        <v>92</v>
      </c>
      <c r="C755" s="2">
        <v>5400</v>
      </c>
      <c r="D755" t="s">
        <v>89</v>
      </c>
      <c r="E755" s="16" t="s">
        <v>90</v>
      </c>
      <c r="G755" s="7"/>
      <c r="I755" s="7"/>
      <c r="K755" t="str">
        <f t="shared" si="33"/>
        <v/>
      </c>
      <c r="L755" t="str">
        <f t="shared" si="34"/>
        <v/>
      </c>
      <c r="M755" t="str">
        <f t="shared" si="35"/>
        <v>2026-01</v>
      </c>
    </row>
    <row r="756" spans="1:13" x14ac:dyDescent="0.25">
      <c r="A756" s="1">
        <v>46036</v>
      </c>
      <c r="B756" t="s">
        <v>94</v>
      </c>
      <c r="C756" s="2">
        <v>1000</v>
      </c>
      <c r="D756" t="s">
        <v>89</v>
      </c>
      <c r="E756" s="16" t="s">
        <v>90</v>
      </c>
      <c r="G756" s="7"/>
      <c r="I756" s="7"/>
      <c r="K756" t="str">
        <f t="shared" si="33"/>
        <v/>
      </c>
      <c r="L756" t="str">
        <f t="shared" si="34"/>
        <v/>
      </c>
      <c r="M756" t="str">
        <f t="shared" si="35"/>
        <v>2026-01</v>
      </c>
    </row>
    <row r="757" spans="1:13" x14ac:dyDescent="0.25">
      <c r="A757" s="1">
        <v>46036</v>
      </c>
      <c r="B757" t="s">
        <v>99</v>
      </c>
      <c r="C757" s="2">
        <v>5500</v>
      </c>
      <c r="D757" t="s">
        <v>89</v>
      </c>
      <c r="E757" s="16" t="s">
        <v>90</v>
      </c>
      <c r="G757" s="7"/>
      <c r="I757" s="7"/>
      <c r="K757" t="str">
        <f t="shared" si="33"/>
        <v/>
      </c>
      <c r="L757" t="str">
        <f t="shared" si="34"/>
        <v/>
      </c>
      <c r="M757" t="str">
        <f t="shared" si="35"/>
        <v>2026-01</v>
      </c>
    </row>
    <row r="758" spans="1:13" x14ac:dyDescent="0.25">
      <c r="A758" s="1">
        <v>46036</v>
      </c>
      <c r="B758" t="s">
        <v>34</v>
      </c>
      <c r="C758" s="2">
        <v>16170</v>
      </c>
      <c r="D758" t="s">
        <v>89</v>
      </c>
      <c r="E758" s="16" t="s">
        <v>90</v>
      </c>
      <c r="G758" s="7"/>
      <c r="I758" s="7"/>
      <c r="K758" t="str">
        <f t="shared" si="33"/>
        <v/>
      </c>
      <c r="L758" t="str">
        <f t="shared" si="34"/>
        <v/>
      </c>
      <c r="M758" t="str">
        <f t="shared" si="35"/>
        <v>2026-01</v>
      </c>
    </row>
    <row r="759" spans="1:13" x14ac:dyDescent="0.25">
      <c r="A759" s="1">
        <v>46037</v>
      </c>
      <c r="B759" t="s">
        <v>35</v>
      </c>
      <c r="C759" s="2">
        <v>10000</v>
      </c>
      <c r="D759" t="s">
        <v>89</v>
      </c>
      <c r="E759" s="16" t="s">
        <v>90</v>
      </c>
      <c r="G759" s="7"/>
      <c r="I759" s="7"/>
      <c r="K759" t="str">
        <f t="shared" si="33"/>
        <v/>
      </c>
      <c r="L759" t="str">
        <f t="shared" si="34"/>
        <v/>
      </c>
      <c r="M759" t="str">
        <f t="shared" si="35"/>
        <v>2026-01</v>
      </c>
    </row>
    <row r="760" spans="1:13" x14ac:dyDescent="0.25">
      <c r="A760" s="1">
        <v>46037</v>
      </c>
      <c r="B760" t="s">
        <v>25</v>
      </c>
      <c r="C760" s="2">
        <v>3000</v>
      </c>
      <c r="D760" t="s">
        <v>89</v>
      </c>
      <c r="E760" s="16" t="s">
        <v>90</v>
      </c>
      <c r="G760" s="7"/>
      <c r="I760" s="7"/>
      <c r="K760" t="str">
        <f t="shared" si="33"/>
        <v/>
      </c>
      <c r="L760" t="str">
        <f t="shared" si="34"/>
        <v/>
      </c>
      <c r="M760" t="str">
        <f t="shared" si="35"/>
        <v>2026-01</v>
      </c>
    </row>
    <row r="761" spans="1:13" x14ac:dyDescent="0.25">
      <c r="A761" s="1">
        <v>46037</v>
      </c>
      <c r="B761" t="s">
        <v>92</v>
      </c>
      <c r="C761" s="2">
        <v>4050</v>
      </c>
      <c r="D761" t="s">
        <v>89</v>
      </c>
      <c r="E761" s="16" t="s">
        <v>90</v>
      </c>
      <c r="G761" s="7"/>
      <c r="I761" s="7"/>
      <c r="K761" t="str">
        <f t="shared" si="33"/>
        <v/>
      </c>
      <c r="L761" t="str">
        <f t="shared" si="34"/>
        <v/>
      </c>
      <c r="M761" t="str">
        <f t="shared" si="35"/>
        <v>2026-01</v>
      </c>
    </row>
    <row r="762" spans="1:13" x14ac:dyDescent="0.25">
      <c r="A762" s="1">
        <v>46037</v>
      </c>
      <c r="B762" t="s">
        <v>92</v>
      </c>
      <c r="C762" s="2">
        <v>5400</v>
      </c>
      <c r="D762" t="s">
        <v>89</v>
      </c>
      <c r="E762" s="16" t="s">
        <v>90</v>
      </c>
      <c r="G762" s="7"/>
      <c r="I762" s="7"/>
      <c r="K762" t="str">
        <f t="shared" si="33"/>
        <v/>
      </c>
      <c r="L762" t="str">
        <f t="shared" si="34"/>
        <v/>
      </c>
      <c r="M762" t="str">
        <f t="shared" si="35"/>
        <v>2026-01</v>
      </c>
    </row>
    <row r="763" spans="1:13" x14ac:dyDescent="0.25">
      <c r="A763" s="1">
        <v>46038</v>
      </c>
      <c r="B763" t="s">
        <v>108</v>
      </c>
      <c r="C763" s="2">
        <v>8960</v>
      </c>
      <c r="D763" t="s">
        <v>89</v>
      </c>
      <c r="E763" s="16" t="s">
        <v>90</v>
      </c>
      <c r="G763" s="7"/>
      <c r="I763" s="7"/>
      <c r="K763" t="str">
        <f t="shared" si="33"/>
        <v/>
      </c>
      <c r="L763" t="str">
        <f t="shared" si="34"/>
        <v/>
      </c>
      <c r="M763" t="str">
        <f t="shared" si="35"/>
        <v>2026-01</v>
      </c>
    </row>
    <row r="764" spans="1:13" x14ac:dyDescent="0.25">
      <c r="A764" s="1">
        <v>46038</v>
      </c>
      <c r="B764" t="s">
        <v>22</v>
      </c>
      <c r="C764" s="2">
        <v>3000</v>
      </c>
      <c r="D764" t="s">
        <v>89</v>
      </c>
      <c r="E764" s="16" t="s">
        <v>90</v>
      </c>
      <c r="G764" s="7"/>
      <c r="I764" s="7"/>
      <c r="K764" t="str">
        <f t="shared" si="33"/>
        <v/>
      </c>
      <c r="L764" t="str">
        <f t="shared" si="34"/>
        <v/>
      </c>
      <c r="M764" t="str">
        <f t="shared" si="35"/>
        <v>2026-01</v>
      </c>
    </row>
    <row r="765" spans="1:13" x14ac:dyDescent="0.25">
      <c r="A765" s="1">
        <v>46038</v>
      </c>
      <c r="B765" t="s">
        <v>32</v>
      </c>
      <c r="C765" s="2">
        <v>11000</v>
      </c>
      <c r="D765" t="s">
        <v>89</v>
      </c>
      <c r="E765" s="16" t="s">
        <v>90</v>
      </c>
      <c r="G765" s="7"/>
      <c r="I765" s="7"/>
      <c r="K765" t="str">
        <f t="shared" si="33"/>
        <v/>
      </c>
      <c r="L765" t="str">
        <f t="shared" si="34"/>
        <v/>
      </c>
      <c r="M765" t="str">
        <f t="shared" si="35"/>
        <v>2026-01</v>
      </c>
    </row>
    <row r="766" spans="1:13" x14ac:dyDescent="0.25">
      <c r="A766" s="1">
        <v>46041</v>
      </c>
      <c r="B766" t="s">
        <v>91</v>
      </c>
      <c r="C766" s="2">
        <v>15000</v>
      </c>
      <c r="D766" t="s">
        <v>89</v>
      </c>
      <c r="E766" s="16" t="s">
        <v>90</v>
      </c>
      <c r="G766" s="7"/>
      <c r="I766" s="7"/>
      <c r="K766" t="str">
        <f t="shared" si="33"/>
        <v/>
      </c>
      <c r="L766" t="str">
        <f t="shared" si="34"/>
        <v/>
      </c>
      <c r="M766" t="str">
        <f t="shared" si="35"/>
        <v>2026-01</v>
      </c>
    </row>
    <row r="767" spans="1:13" x14ac:dyDescent="0.25">
      <c r="A767" s="1">
        <v>46041</v>
      </c>
      <c r="B767" t="s">
        <v>91</v>
      </c>
      <c r="C767" s="2">
        <v>3000</v>
      </c>
      <c r="D767" t="s">
        <v>89</v>
      </c>
      <c r="E767" s="16" t="s">
        <v>90</v>
      </c>
      <c r="G767" s="7"/>
      <c r="I767" s="7"/>
      <c r="K767" t="str">
        <f t="shared" si="33"/>
        <v/>
      </c>
      <c r="L767" t="str">
        <f t="shared" si="34"/>
        <v/>
      </c>
      <c r="M767" t="str">
        <f t="shared" si="35"/>
        <v>2026-01</v>
      </c>
    </row>
    <row r="768" spans="1:13" x14ac:dyDescent="0.25">
      <c r="A768" s="1">
        <v>46041</v>
      </c>
      <c r="B768" t="s">
        <v>91</v>
      </c>
      <c r="C768" s="2">
        <v>3000</v>
      </c>
      <c r="D768" t="s">
        <v>89</v>
      </c>
      <c r="E768" s="16" t="s">
        <v>90</v>
      </c>
      <c r="G768" s="7"/>
      <c r="I768" s="7"/>
      <c r="K768" t="str">
        <f t="shared" si="33"/>
        <v/>
      </c>
      <c r="L768" t="str">
        <f t="shared" si="34"/>
        <v/>
      </c>
      <c r="M768" t="str">
        <f t="shared" si="35"/>
        <v>2026-01</v>
      </c>
    </row>
    <row r="769" spans="1:13" x14ac:dyDescent="0.25">
      <c r="A769" s="1">
        <v>46041</v>
      </c>
      <c r="B769" t="s">
        <v>32</v>
      </c>
      <c r="C769" s="2">
        <v>1100</v>
      </c>
      <c r="D769" t="s">
        <v>89</v>
      </c>
      <c r="E769" s="16" t="s">
        <v>90</v>
      </c>
      <c r="G769" s="7"/>
      <c r="I769" s="7"/>
      <c r="K769" t="str">
        <f t="shared" si="33"/>
        <v/>
      </c>
      <c r="L769" t="str">
        <f t="shared" si="34"/>
        <v/>
      </c>
      <c r="M769" t="str">
        <f t="shared" si="35"/>
        <v>2026-01</v>
      </c>
    </row>
    <row r="770" spans="1:13" x14ac:dyDescent="0.25">
      <c r="A770" s="1">
        <v>46041</v>
      </c>
      <c r="B770" t="s">
        <v>24</v>
      </c>
      <c r="C770" s="2">
        <v>210</v>
      </c>
      <c r="D770" t="s">
        <v>89</v>
      </c>
      <c r="E770" s="16" t="s">
        <v>90</v>
      </c>
      <c r="G770" s="7"/>
      <c r="I770" s="7"/>
      <c r="K770" t="str">
        <f t="shared" ref="K770:K833" si="36">IF(AND(L770&lt;&gt;"",C770&gt;0),L770/C770,"")</f>
        <v/>
      </c>
      <c r="L770" t="str">
        <f t="shared" ref="L770:L833" si="37">IF(AND(D770="FINALIZADO",H770&lt;&gt;""),VALUE(LEFT(H770,FIND("h",H770)-1))*60+VALUE(MID(H770,FIND("h",H770)+2,FIND("min",H770)-FIND("h",H770)-2)),"")</f>
        <v/>
      </c>
      <c r="M770" t="str">
        <f t="shared" ref="M770:M833" si="38">TEXT(YEAR(A770),"0000")&amp;"-"&amp;TEXT(MONTH(A770),"00")</f>
        <v>2026-01</v>
      </c>
    </row>
    <row r="771" spans="1:13" x14ac:dyDescent="0.25">
      <c r="A771" s="1">
        <v>46041</v>
      </c>
      <c r="B771" t="s">
        <v>92</v>
      </c>
      <c r="C771" s="2">
        <v>1350</v>
      </c>
      <c r="D771" t="s">
        <v>89</v>
      </c>
      <c r="E771" s="16" t="s">
        <v>90</v>
      </c>
      <c r="G771" s="7"/>
      <c r="I771" s="7"/>
      <c r="K771" t="str">
        <f t="shared" si="36"/>
        <v/>
      </c>
      <c r="L771" t="str">
        <f t="shared" si="37"/>
        <v/>
      </c>
      <c r="M771" t="str">
        <f t="shared" si="38"/>
        <v>2026-01</v>
      </c>
    </row>
    <row r="772" spans="1:13" x14ac:dyDescent="0.25">
      <c r="A772" s="1">
        <v>46041</v>
      </c>
      <c r="B772" t="s">
        <v>92</v>
      </c>
      <c r="C772" s="2">
        <v>1350</v>
      </c>
      <c r="D772" t="s">
        <v>89</v>
      </c>
      <c r="E772" s="16" t="s">
        <v>90</v>
      </c>
      <c r="G772" s="7"/>
      <c r="I772" s="7"/>
      <c r="K772" t="str">
        <f t="shared" si="36"/>
        <v/>
      </c>
      <c r="L772" t="str">
        <f t="shared" si="37"/>
        <v/>
      </c>
      <c r="M772" t="str">
        <f t="shared" si="38"/>
        <v>2026-01</v>
      </c>
    </row>
    <row r="773" spans="1:13" x14ac:dyDescent="0.25">
      <c r="A773" s="1">
        <v>46041</v>
      </c>
      <c r="B773" t="s">
        <v>34</v>
      </c>
      <c r="C773" s="2">
        <v>7880</v>
      </c>
      <c r="D773" t="s">
        <v>89</v>
      </c>
      <c r="E773" s="16" t="s">
        <v>90</v>
      </c>
      <c r="G773" s="7"/>
      <c r="I773" s="7"/>
      <c r="K773" t="str">
        <f t="shared" si="36"/>
        <v/>
      </c>
      <c r="L773" t="str">
        <f t="shared" si="37"/>
        <v/>
      </c>
      <c r="M773" t="str">
        <f t="shared" si="38"/>
        <v>2026-01</v>
      </c>
    </row>
    <row r="774" spans="1:13" x14ac:dyDescent="0.25">
      <c r="A774" s="1">
        <v>46042</v>
      </c>
      <c r="B774" t="s">
        <v>26</v>
      </c>
      <c r="C774" s="2">
        <v>1050</v>
      </c>
      <c r="D774" t="s">
        <v>89</v>
      </c>
      <c r="E774" s="16" t="s">
        <v>90</v>
      </c>
      <c r="G774" s="7"/>
      <c r="I774" s="7"/>
      <c r="K774" t="str">
        <f t="shared" si="36"/>
        <v/>
      </c>
      <c r="L774" t="str">
        <f t="shared" si="37"/>
        <v/>
      </c>
      <c r="M774" t="str">
        <f t="shared" si="38"/>
        <v>2026-01</v>
      </c>
    </row>
    <row r="775" spans="1:13" x14ac:dyDescent="0.25">
      <c r="A775" s="1">
        <v>46042</v>
      </c>
      <c r="B775" t="s">
        <v>92</v>
      </c>
      <c r="C775" s="2">
        <v>2700</v>
      </c>
      <c r="D775" t="s">
        <v>89</v>
      </c>
      <c r="E775" s="16" t="s">
        <v>90</v>
      </c>
      <c r="G775" s="7"/>
      <c r="I775" s="7"/>
      <c r="K775" t="str">
        <f t="shared" si="36"/>
        <v/>
      </c>
      <c r="L775" t="str">
        <f t="shared" si="37"/>
        <v/>
      </c>
      <c r="M775" t="str">
        <f t="shared" si="38"/>
        <v>2026-01</v>
      </c>
    </row>
    <row r="776" spans="1:13" x14ac:dyDescent="0.25">
      <c r="A776" s="1">
        <v>46042</v>
      </c>
      <c r="B776" t="s">
        <v>92</v>
      </c>
      <c r="C776" s="2">
        <v>1350</v>
      </c>
      <c r="D776" t="s">
        <v>89</v>
      </c>
      <c r="E776" s="16" t="s">
        <v>90</v>
      </c>
      <c r="G776" s="7"/>
      <c r="I776" s="7"/>
      <c r="K776" t="str">
        <f t="shared" si="36"/>
        <v/>
      </c>
      <c r="L776" t="str">
        <f t="shared" si="37"/>
        <v/>
      </c>
      <c r="M776" t="str">
        <f t="shared" si="38"/>
        <v>2026-01</v>
      </c>
    </row>
    <row r="777" spans="1:13" x14ac:dyDescent="0.25">
      <c r="A777" s="1">
        <v>46042</v>
      </c>
      <c r="B777" t="s">
        <v>92</v>
      </c>
      <c r="C777" s="2">
        <v>1350</v>
      </c>
      <c r="D777" t="s">
        <v>89</v>
      </c>
      <c r="E777" s="16" t="s">
        <v>90</v>
      </c>
      <c r="G777" s="7"/>
      <c r="I777" s="7"/>
      <c r="K777" t="str">
        <f t="shared" si="36"/>
        <v/>
      </c>
      <c r="L777" t="str">
        <f t="shared" si="37"/>
        <v/>
      </c>
      <c r="M777" t="str">
        <f t="shared" si="38"/>
        <v>2026-01</v>
      </c>
    </row>
    <row r="778" spans="1:13" x14ac:dyDescent="0.25">
      <c r="A778" s="1">
        <v>46043</v>
      </c>
      <c r="B778" t="s">
        <v>96</v>
      </c>
      <c r="C778" s="2" t="s">
        <v>110</v>
      </c>
      <c r="D778" t="s">
        <v>89</v>
      </c>
      <c r="E778" s="16" t="s">
        <v>90</v>
      </c>
      <c r="G778" s="7"/>
      <c r="I778" s="7"/>
      <c r="K778" t="str">
        <f t="shared" si="36"/>
        <v/>
      </c>
      <c r="L778" t="str">
        <f t="shared" si="37"/>
        <v/>
      </c>
      <c r="M778" t="str">
        <f t="shared" si="38"/>
        <v>2026-01</v>
      </c>
    </row>
    <row r="779" spans="1:13" x14ac:dyDescent="0.25">
      <c r="A779" s="1">
        <v>46043</v>
      </c>
      <c r="B779" t="s">
        <v>92</v>
      </c>
      <c r="C779" s="2">
        <v>2700</v>
      </c>
      <c r="D779" t="s">
        <v>89</v>
      </c>
      <c r="E779" s="16" t="s">
        <v>90</v>
      </c>
      <c r="G779" s="7"/>
      <c r="I779" s="7"/>
      <c r="K779" t="str">
        <f t="shared" si="36"/>
        <v/>
      </c>
      <c r="L779" t="str">
        <f t="shared" si="37"/>
        <v/>
      </c>
      <c r="M779" t="str">
        <f t="shared" si="38"/>
        <v>2026-01</v>
      </c>
    </row>
    <row r="780" spans="1:13" x14ac:dyDescent="0.25">
      <c r="A780" s="1">
        <v>46043</v>
      </c>
      <c r="B780" t="s">
        <v>92</v>
      </c>
      <c r="C780" s="2">
        <v>1350</v>
      </c>
      <c r="D780" t="s">
        <v>89</v>
      </c>
      <c r="E780" s="16" t="s">
        <v>90</v>
      </c>
      <c r="G780" s="7"/>
      <c r="I780" s="7"/>
      <c r="K780" t="str">
        <f t="shared" si="36"/>
        <v/>
      </c>
      <c r="L780" t="str">
        <f t="shared" si="37"/>
        <v/>
      </c>
      <c r="M780" t="str">
        <f t="shared" si="38"/>
        <v>2026-01</v>
      </c>
    </row>
    <row r="781" spans="1:13" x14ac:dyDescent="0.25">
      <c r="A781" s="1">
        <v>46043</v>
      </c>
      <c r="B781" t="s">
        <v>92</v>
      </c>
      <c r="C781" s="2">
        <v>4050</v>
      </c>
      <c r="D781" t="s">
        <v>89</v>
      </c>
      <c r="E781" s="16" t="s">
        <v>90</v>
      </c>
      <c r="G781" s="7"/>
      <c r="I781" s="7"/>
      <c r="K781" t="str">
        <f t="shared" si="36"/>
        <v/>
      </c>
      <c r="L781" t="str">
        <f t="shared" si="37"/>
        <v/>
      </c>
      <c r="M781" t="str">
        <f t="shared" si="38"/>
        <v>2026-01</v>
      </c>
    </row>
    <row r="782" spans="1:13" x14ac:dyDescent="0.25">
      <c r="A782" s="1">
        <v>46043</v>
      </c>
      <c r="B782" t="s">
        <v>24</v>
      </c>
      <c r="C782" s="2">
        <v>210</v>
      </c>
      <c r="D782" t="s">
        <v>89</v>
      </c>
      <c r="E782" s="16" t="s">
        <v>90</v>
      </c>
      <c r="G782" s="7"/>
      <c r="I782" s="7"/>
      <c r="K782" t="str">
        <f t="shared" si="36"/>
        <v/>
      </c>
      <c r="L782" t="str">
        <f t="shared" si="37"/>
        <v/>
      </c>
      <c r="M782" t="str">
        <f t="shared" si="38"/>
        <v>2026-01</v>
      </c>
    </row>
    <row r="783" spans="1:13" x14ac:dyDescent="0.25">
      <c r="A783" s="1">
        <v>46043</v>
      </c>
      <c r="B783" t="s">
        <v>34</v>
      </c>
      <c r="C783" s="2">
        <v>10000</v>
      </c>
      <c r="D783" t="s">
        <v>89</v>
      </c>
      <c r="E783" s="16" t="s">
        <v>90</v>
      </c>
      <c r="G783" s="7"/>
      <c r="I783" s="7"/>
      <c r="K783" t="str">
        <f t="shared" si="36"/>
        <v/>
      </c>
      <c r="L783" t="str">
        <f t="shared" si="37"/>
        <v/>
      </c>
      <c r="M783" t="str">
        <f t="shared" si="38"/>
        <v>2026-01</v>
      </c>
    </row>
    <row r="784" spans="1:13" x14ac:dyDescent="0.25">
      <c r="A784" s="1">
        <v>46043</v>
      </c>
      <c r="B784" t="s">
        <v>35</v>
      </c>
      <c r="C784" s="2">
        <v>10000</v>
      </c>
      <c r="D784" t="s">
        <v>89</v>
      </c>
      <c r="E784" s="16" t="s">
        <v>90</v>
      </c>
      <c r="G784" s="7"/>
      <c r="I784" s="7"/>
      <c r="K784" t="str">
        <f t="shared" si="36"/>
        <v/>
      </c>
      <c r="L784" t="str">
        <f t="shared" si="37"/>
        <v/>
      </c>
      <c r="M784" t="str">
        <f t="shared" si="38"/>
        <v>2026-01</v>
      </c>
    </row>
    <row r="785" spans="1:13" x14ac:dyDescent="0.25">
      <c r="A785" s="1">
        <v>46043</v>
      </c>
      <c r="B785" t="s">
        <v>91</v>
      </c>
      <c r="C785" s="2">
        <v>1500</v>
      </c>
      <c r="D785" t="s">
        <v>89</v>
      </c>
      <c r="E785" s="16" t="s">
        <v>90</v>
      </c>
      <c r="G785" s="7"/>
      <c r="I785" s="7"/>
      <c r="K785" t="str">
        <f t="shared" si="36"/>
        <v/>
      </c>
      <c r="L785" t="str">
        <f t="shared" si="37"/>
        <v/>
      </c>
      <c r="M785" t="str">
        <f t="shared" si="38"/>
        <v>2026-01</v>
      </c>
    </row>
    <row r="786" spans="1:13" x14ac:dyDescent="0.25">
      <c r="A786" s="1">
        <v>46043</v>
      </c>
      <c r="B786" t="s">
        <v>91</v>
      </c>
      <c r="C786" s="2">
        <v>7500</v>
      </c>
      <c r="D786" t="s">
        <v>89</v>
      </c>
      <c r="E786" s="16" t="s">
        <v>90</v>
      </c>
      <c r="G786" s="7"/>
      <c r="I786" s="7"/>
      <c r="K786" t="str">
        <f t="shared" si="36"/>
        <v/>
      </c>
      <c r="L786" t="str">
        <f t="shared" si="37"/>
        <v/>
      </c>
      <c r="M786" t="str">
        <f t="shared" si="38"/>
        <v>2026-01</v>
      </c>
    </row>
    <row r="787" spans="1:13" x14ac:dyDescent="0.25">
      <c r="A787" s="1">
        <v>46043</v>
      </c>
      <c r="B787" t="s">
        <v>99</v>
      </c>
      <c r="C787" s="2">
        <v>2200</v>
      </c>
      <c r="D787" t="s">
        <v>89</v>
      </c>
      <c r="E787" s="16" t="s">
        <v>90</v>
      </c>
      <c r="G787" s="7"/>
      <c r="I787" s="7"/>
      <c r="K787" t="str">
        <f t="shared" si="36"/>
        <v/>
      </c>
      <c r="L787" t="str">
        <f t="shared" si="37"/>
        <v/>
      </c>
      <c r="M787" t="str">
        <f t="shared" si="38"/>
        <v>2026-01</v>
      </c>
    </row>
    <row r="788" spans="1:13" x14ac:dyDescent="0.25">
      <c r="A788" s="1">
        <v>46043</v>
      </c>
      <c r="B788" t="s">
        <v>99</v>
      </c>
      <c r="C788" s="2">
        <v>1100</v>
      </c>
      <c r="D788" t="s">
        <v>89</v>
      </c>
      <c r="E788" s="16" t="s">
        <v>90</v>
      </c>
      <c r="G788" s="7"/>
      <c r="I788" s="7"/>
      <c r="K788" t="str">
        <f t="shared" si="36"/>
        <v/>
      </c>
      <c r="L788" t="str">
        <f t="shared" si="37"/>
        <v/>
      </c>
      <c r="M788" t="str">
        <f t="shared" si="38"/>
        <v>2026-01</v>
      </c>
    </row>
    <row r="789" spans="1:13" x14ac:dyDescent="0.25">
      <c r="A789" s="1">
        <v>46044</v>
      </c>
      <c r="B789" t="s">
        <v>96</v>
      </c>
      <c r="C789" s="2">
        <v>1250</v>
      </c>
      <c r="D789" t="s">
        <v>89</v>
      </c>
      <c r="E789" s="16" t="s">
        <v>90</v>
      </c>
      <c r="G789" s="7"/>
      <c r="I789" s="7"/>
      <c r="K789" t="str">
        <f t="shared" si="36"/>
        <v/>
      </c>
      <c r="L789" t="str">
        <f t="shared" si="37"/>
        <v/>
      </c>
      <c r="M789" t="str">
        <f t="shared" si="38"/>
        <v>2026-01</v>
      </c>
    </row>
    <row r="790" spans="1:13" x14ac:dyDescent="0.25">
      <c r="A790" s="1">
        <v>46044</v>
      </c>
      <c r="B790" t="s">
        <v>92</v>
      </c>
      <c r="C790" s="2">
        <v>14000</v>
      </c>
      <c r="D790" t="s">
        <v>89</v>
      </c>
      <c r="E790" s="16" t="s">
        <v>90</v>
      </c>
      <c r="G790" s="7"/>
      <c r="I790" s="7"/>
      <c r="K790" t="str">
        <f t="shared" si="36"/>
        <v/>
      </c>
      <c r="L790" t="str">
        <f t="shared" si="37"/>
        <v/>
      </c>
      <c r="M790" t="str">
        <f t="shared" si="38"/>
        <v>2026-01</v>
      </c>
    </row>
    <row r="791" spans="1:13" x14ac:dyDescent="0.25">
      <c r="A791" s="1">
        <v>46044</v>
      </c>
      <c r="B791" t="s">
        <v>92</v>
      </c>
      <c r="C791" s="2">
        <v>5400</v>
      </c>
      <c r="D791" t="s">
        <v>89</v>
      </c>
      <c r="E791" s="16" t="s">
        <v>90</v>
      </c>
      <c r="G791" s="7"/>
      <c r="I791" s="7"/>
      <c r="K791" t="str">
        <f t="shared" si="36"/>
        <v/>
      </c>
      <c r="L791" t="str">
        <f t="shared" si="37"/>
        <v/>
      </c>
      <c r="M791" t="str">
        <f t="shared" si="38"/>
        <v>2026-01</v>
      </c>
    </row>
    <row r="792" spans="1:13" x14ac:dyDescent="0.25">
      <c r="A792" s="1">
        <v>46044</v>
      </c>
      <c r="B792" t="s">
        <v>92</v>
      </c>
      <c r="C792" s="2">
        <v>2700</v>
      </c>
      <c r="D792" t="s">
        <v>89</v>
      </c>
      <c r="E792" s="16" t="s">
        <v>90</v>
      </c>
      <c r="G792" s="7"/>
      <c r="I792" s="7"/>
      <c r="K792" t="str">
        <f t="shared" si="36"/>
        <v/>
      </c>
      <c r="L792" t="str">
        <f t="shared" si="37"/>
        <v/>
      </c>
      <c r="M792" t="str">
        <f t="shared" si="38"/>
        <v>2026-01</v>
      </c>
    </row>
    <row r="793" spans="1:13" x14ac:dyDescent="0.25">
      <c r="A793" s="1">
        <v>46044</v>
      </c>
      <c r="B793" t="s">
        <v>92</v>
      </c>
      <c r="C793" s="2">
        <v>1350</v>
      </c>
      <c r="D793" t="s">
        <v>89</v>
      </c>
      <c r="E793" s="16" t="s">
        <v>90</v>
      </c>
      <c r="G793" s="7"/>
      <c r="I793" s="7"/>
      <c r="K793" t="str">
        <f t="shared" si="36"/>
        <v/>
      </c>
      <c r="L793" t="str">
        <f t="shared" si="37"/>
        <v/>
      </c>
      <c r="M793" t="str">
        <f t="shared" si="38"/>
        <v>2026-01</v>
      </c>
    </row>
    <row r="794" spans="1:13" x14ac:dyDescent="0.25">
      <c r="A794" s="1">
        <v>46044</v>
      </c>
      <c r="B794" t="s">
        <v>100</v>
      </c>
      <c r="C794" s="2">
        <v>2000</v>
      </c>
      <c r="D794" t="s">
        <v>89</v>
      </c>
      <c r="E794" s="16" t="s">
        <v>90</v>
      </c>
      <c r="G794" s="7"/>
      <c r="I794" s="7"/>
      <c r="K794" t="str">
        <f t="shared" si="36"/>
        <v/>
      </c>
      <c r="L794" t="str">
        <f t="shared" si="37"/>
        <v/>
      </c>
      <c r="M794" t="str">
        <f t="shared" si="38"/>
        <v>2026-01</v>
      </c>
    </row>
    <row r="795" spans="1:13" x14ac:dyDescent="0.25">
      <c r="A795" s="1">
        <v>46044</v>
      </c>
      <c r="B795" t="s">
        <v>12</v>
      </c>
      <c r="C795" s="2">
        <v>2000</v>
      </c>
      <c r="D795" t="s">
        <v>89</v>
      </c>
      <c r="E795" s="16" t="s">
        <v>90</v>
      </c>
      <c r="G795" s="7"/>
      <c r="I795" s="7"/>
      <c r="K795" t="str">
        <f t="shared" si="36"/>
        <v/>
      </c>
      <c r="L795" t="str">
        <f t="shared" si="37"/>
        <v/>
      </c>
      <c r="M795" t="str">
        <f t="shared" si="38"/>
        <v>2026-01</v>
      </c>
    </row>
    <row r="796" spans="1:13" x14ac:dyDescent="0.25">
      <c r="A796" s="1">
        <v>46044</v>
      </c>
      <c r="B796" t="s">
        <v>106</v>
      </c>
      <c r="C796" s="2">
        <v>2500</v>
      </c>
      <c r="D796" t="s">
        <v>89</v>
      </c>
      <c r="E796" s="16" t="s">
        <v>90</v>
      </c>
      <c r="G796" s="7"/>
      <c r="I796" s="7"/>
      <c r="K796" t="str">
        <f t="shared" si="36"/>
        <v/>
      </c>
      <c r="L796" t="str">
        <f t="shared" si="37"/>
        <v/>
      </c>
      <c r="M796" t="str">
        <f t="shared" si="38"/>
        <v>2026-01</v>
      </c>
    </row>
    <row r="797" spans="1:13" x14ac:dyDescent="0.25">
      <c r="A797" s="1">
        <v>46044</v>
      </c>
      <c r="B797" t="s">
        <v>99</v>
      </c>
      <c r="C797" s="2">
        <v>1100</v>
      </c>
      <c r="D797" t="s">
        <v>89</v>
      </c>
      <c r="E797" s="16" t="s">
        <v>90</v>
      </c>
      <c r="G797" s="7"/>
      <c r="I797" s="7"/>
      <c r="K797" t="str">
        <f t="shared" si="36"/>
        <v/>
      </c>
      <c r="L797" t="str">
        <f t="shared" si="37"/>
        <v/>
      </c>
      <c r="M797" t="str">
        <f t="shared" si="38"/>
        <v>2026-01</v>
      </c>
    </row>
    <row r="798" spans="1:13" x14ac:dyDescent="0.25">
      <c r="A798" s="1">
        <v>46045</v>
      </c>
      <c r="B798" t="s">
        <v>27</v>
      </c>
      <c r="C798" s="2">
        <v>1050</v>
      </c>
      <c r="D798" t="s">
        <v>89</v>
      </c>
      <c r="E798" s="16" t="s">
        <v>90</v>
      </c>
      <c r="G798" s="7"/>
      <c r="I798" s="7"/>
      <c r="K798" t="str">
        <f t="shared" si="36"/>
        <v/>
      </c>
      <c r="L798" t="str">
        <f t="shared" si="37"/>
        <v/>
      </c>
      <c r="M798" t="str">
        <f t="shared" si="38"/>
        <v>2026-01</v>
      </c>
    </row>
    <row r="799" spans="1:13" x14ac:dyDescent="0.25">
      <c r="A799" s="1">
        <v>46045</v>
      </c>
      <c r="B799" t="s">
        <v>27</v>
      </c>
      <c r="C799" s="2">
        <v>1050</v>
      </c>
      <c r="D799" t="s">
        <v>89</v>
      </c>
      <c r="E799" s="16" t="s">
        <v>90</v>
      </c>
      <c r="G799" s="7"/>
      <c r="I799" s="7"/>
      <c r="K799" t="str">
        <f t="shared" si="36"/>
        <v/>
      </c>
      <c r="L799" t="str">
        <f t="shared" si="37"/>
        <v/>
      </c>
      <c r="M799" t="str">
        <f t="shared" si="38"/>
        <v>2026-01</v>
      </c>
    </row>
    <row r="800" spans="1:13" x14ac:dyDescent="0.25">
      <c r="A800" s="1">
        <v>46045</v>
      </c>
      <c r="B800" t="s">
        <v>94</v>
      </c>
      <c r="C800" s="2">
        <v>1000</v>
      </c>
      <c r="D800" t="s">
        <v>89</v>
      </c>
      <c r="E800" s="16" t="s">
        <v>90</v>
      </c>
      <c r="G800" s="7"/>
      <c r="I800" s="7"/>
      <c r="K800" t="str">
        <f t="shared" si="36"/>
        <v/>
      </c>
      <c r="L800" t="str">
        <f t="shared" si="37"/>
        <v/>
      </c>
      <c r="M800" t="str">
        <f t="shared" si="38"/>
        <v>2026-01</v>
      </c>
    </row>
    <row r="801" spans="1:13" x14ac:dyDescent="0.25">
      <c r="A801" s="1">
        <v>46045</v>
      </c>
      <c r="B801" t="s">
        <v>102</v>
      </c>
      <c r="C801" s="2">
        <v>1000</v>
      </c>
      <c r="D801" t="s">
        <v>89</v>
      </c>
      <c r="E801" s="16" t="s">
        <v>90</v>
      </c>
      <c r="G801" s="7"/>
      <c r="I801" s="7"/>
      <c r="K801" t="str">
        <f t="shared" si="36"/>
        <v/>
      </c>
      <c r="L801" t="str">
        <f t="shared" si="37"/>
        <v/>
      </c>
      <c r="M801" t="str">
        <f t="shared" si="38"/>
        <v>2026-01</v>
      </c>
    </row>
    <row r="802" spans="1:13" x14ac:dyDescent="0.25">
      <c r="A802" s="1">
        <v>46045</v>
      </c>
      <c r="B802" t="s">
        <v>29</v>
      </c>
      <c r="C802" s="2">
        <v>1800</v>
      </c>
      <c r="D802" t="s">
        <v>89</v>
      </c>
      <c r="E802" s="16" t="s">
        <v>90</v>
      </c>
      <c r="G802" s="7"/>
      <c r="I802" s="7"/>
      <c r="K802" t="str">
        <f t="shared" si="36"/>
        <v/>
      </c>
      <c r="L802" t="str">
        <f t="shared" si="37"/>
        <v/>
      </c>
      <c r="M802" t="str">
        <f t="shared" si="38"/>
        <v>2026-01</v>
      </c>
    </row>
    <row r="803" spans="1:13" x14ac:dyDescent="0.25">
      <c r="A803" s="1">
        <v>46045</v>
      </c>
      <c r="B803" t="s">
        <v>92</v>
      </c>
      <c r="C803" s="2">
        <v>1350</v>
      </c>
      <c r="D803" t="s">
        <v>89</v>
      </c>
      <c r="E803" s="16" t="s">
        <v>90</v>
      </c>
      <c r="G803" s="7"/>
      <c r="I803" s="7"/>
      <c r="K803" t="str">
        <f t="shared" si="36"/>
        <v/>
      </c>
      <c r="L803" t="str">
        <f t="shared" si="37"/>
        <v/>
      </c>
      <c r="M803" t="str">
        <f t="shared" si="38"/>
        <v>2026-01</v>
      </c>
    </row>
    <row r="804" spans="1:13" x14ac:dyDescent="0.25">
      <c r="A804" s="1">
        <v>46045</v>
      </c>
      <c r="B804" t="s">
        <v>92</v>
      </c>
      <c r="C804" s="2">
        <v>1350</v>
      </c>
      <c r="D804" t="s">
        <v>89</v>
      </c>
      <c r="E804" s="16" t="s">
        <v>90</v>
      </c>
      <c r="G804" s="7"/>
      <c r="I804" s="7"/>
      <c r="K804" t="str">
        <f t="shared" si="36"/>
        <v/>
      </c>
      <c r="L804" t="str">
        <f t="shared" si="37"/>
        <v/>
      </c>
      <c r="M804" t="str">
        <f t="shared" si="38"/>
        <v>2026-01</v>
      </c>
    </row>
    <row r="805" spans="1:13" x14ac:dyDescent="0.25">
      <c r="A805" s="1">
        <v>46045</v>
      </c>
      <c r="B805" t="s">
        <v>15</v>
      </c>
      <c r="C805" s="2">
        <v>3300</v>
      </c>
      <c r="D805" t="s">
        <v>89</v>
      </c>
      <c r="E805" s="16" t="s">
        <v>90</v>
      </c>
      <c r="G805" s="7"/>
      <c r="I805" s="7"/>
      <c r="K805" t="str">
        <f t="shared" si="36"/>
        <v/>
      </c>
      <c r="L805" t="str">
        <f t="shared" si="37"/>
        <v/>
      </c>
      <c r="M805" t="str">
        <f t="shared" si="38"/>
        <v>2026-01</v>
      </c>
    </row>
    <row r="806" spans="1:13" x14ac:dyDescent="0.25">
      <c r="A806" s="1">
        <v>46045</v>
      </c>
      <c r="B806" t="s">
        <v>35</v>
      </c>
      <c r="C806" s="2">
        <v>10000</v>
      </c>
      <c r="D806" t="s">
        <v>89</v>
      </c>
      <c r="E806" s="16" t="s">
        <v>90</v>
      </c>
      <c r="G806" s="7"/>
      <c r="I806" s="7"/>
      <c r="K806" t="str">
        <f t="shared" si="36"/>
        <v/>
      </c>
      <c r="L806" t="str">
        <f t="shared" si="37"/>
        <v/>
      </c>
      <c r="M806" t="str">
        <f t="shared" si="38"/>
        <v>2026-01</v>
      </c>
    </row>
    <row r="807" spans="1:13" x14ac:dyDescent="0.25">
      <c r="A807" s="1">
        <v>46045</v>
      </c>
      <c r="B807" t="s">
        <v>92</v>
      </c>
      <c r="C807" s="2">
        <v>4050</v>
      </c>
      <c r="D807" t="s">
        <v>89</v>
      </c>
      <c r="E807" s="16" t="s">
        <v>90</v>
      </c>
      <c r="G807" s="7"/>
      <c r="I807" s="7"/>
      <c r="K807" t="str">
        <f t="shared" si="36"/>
        <v/>
      </c>
      <c r="L807" t="str">
        <f t="shared" si="37"/>
        <v/>
      </c>
      <c r="M807" t="str">
        <f t="shared" si="38"/>
        <v>2026-01</v>
      </c>
    </row>
    <row r="808" spans="1:13" x14ac:dyDescent="0.25">
      <c r="A808" s="1">
        <v>46045</v>
      </c>
      <c r="B808" t="s">
        <v>91</v>
      </c>
      <c r="C808" s="2">
        <v>4500</v>
      </c>
      <c r="D808" t="s">
        <v>89</v>
      </c>
      <c r="E808" s="16" t="s">
        <v>90</v>
      </c>
      <c r="G808" s="7"/>
      <c r="I808" s="7"/>
      <c r="K808" t="str">
        <f t="shared" si="36"/>
        <v/>
      </c>
      <c r="L808" t="str">
        <f t="shared" si="37"/>
        <v/>
      </c>
      <c r="M808" t="str">
        <f t="shared" si="38"/>
        <v>2026-01</v>
      </c>
    </row>
    <row r="809" spans="1:13" x14ac:dyDescent="0.25">
      <c r="A809" s="1">
        <v>46045</v>
      </c>
      <c r="B809" t="s">
        <v>23</v>
      </c>
      <c r="C809" s="2">
        <v>5000</v>
      </c>
      <c r="D809" t="s">
        <v>89</v>
      </c>
      <c r="E809" s="16" t="s">
        <v>90</v>
      </c>
      <c r="G809" s="7"/>
      <c r="I809" s="7"/>
      <c r="K809" t="str">
        <f t="shared" si="36"/>
        <v/>
      </c>
      <c r="L809" t="str">
        <f t="shared" si="37"/>
        <v/>
      </c>
      <c r="M809" t="str">
        <f t="shared" si="38"/>
        <v>2026-01</v>
      </c>
    </row>
    <row r="810" spans="1:13" x14ac:dyDescent="0.25">
      <c r="A810" s="1">
        <v>46045</v>
      </c>
      <c r="B810" t="s">
        <v>99</v>
      </c>
      <c r="C810" s="2">
        <v>1100</v>
      </c>
      <c r="D810" t="s">
        <v>89</v>
      </c>
      <c r="E810" s="16" t="s">
        <v>90</v>
      </c>
      <c r="G810" s="7"/>
      <c r="I810" s="7"/>
      <c r="K810" t="str">
        <f t="shared" si="36"/>
        <v/>
      </c>
      <c r="L810" t="str">
        <f t="shared" si="37"/>
        <v/>
      </c>
      <c r="M810" t="str">
        <f t="shared" si="38"/>
        <v>2026-01</v>
      </c>
    </row>
    <row r="811" spans="1:13" x14ac:dyDescent="0.25">
      <c r="A811" s="1">
        <v>46048</v>
      </c>
      <c r="B811" t="s">
        <v>25</v>
      </c>
      <c r="C811" s="2">
        <v>4000</v>
      </c>
      <c r="D811" t="s">
        <v>89</v>
      </c>
      <c r="E811" s="16" t="s">
        <v>90</v>
      </c>
      <c r="G811" s="7"/>
      <c r="I811" s="7"/>
      <c r="K811" t="str">
        <f t="shared" si="36"/>
        <v/>
      </c>
      <c r="L811" t="str">
        <f t="shared" si="37"/>
        <v/>
      </c>
      <c r="M811" t="str">
        <f t="shared" si="38"/>
        <v>2026-01</v>
      </c>
    </row>
    <row r="812" spans="1:13" x14ac:dyDescent="0.25">
      <c r="A812" s="1">
        <v>46048</v>
      </c>
      <c r="B812" t="s">
        <v>92</v>
      </c>
      <c r="C812" s="2">
        <v>1350</v>
      </c>
      <c r="D812" t="s">
        <v>89</v>
      </c>
      <c r="E812" s="16" t="s">
        <v>90</v>
      </c>
      <c r="G812" s="7"/>
      <c r="I812" s="7"/>
      <c r="K812" t="str">
        <f t="shared" si="36"/>
        <v/>
      </c>
      <c r="L812" t="str">
        <f t="shared" si="37"/>
        <v/>
      </c>
      <c r="M812" t="str">
        <f t="shared" si="38"/>
        <v>2026-01</v>
      </c>
    </row>
    <row r="813" spans="1:13" x14ac:dyDescent="0.25">
      <c r="A813" s="1">
        <v>46048</v>
      </c>
      <c r="B813" t="s">
        <v>92</v>
      </c>
      <c r="C813" s="2">
        <v>1350</v>
      </c>
      <c r="D813" t="s">
        <v>89</v>
      </c>
      <c r="E813" s="16" t="s">
        <v>90</v>
      </c>
      <c r="G813" s="7"/>
      <c r="I813" s="7"/>
      <c r="K813" t="str">
        <f t="shared" si="36"/>
        <v/>
      </c>
      <c r="L813" t="str">
        <f t="shared" si="37"/>
        <v/>
      </c>
      <c r="M813" t="str">
        <f t="shared" si="38"/>
        <v>2026-01</v>
      </c>
    </row>
    <row r="814" spans="1:13" x14ac:dyDescent="0.25">
      <c r="A814" s="1">
        <v>46048</v>
      </c>
      <c r="B814" t="s">
        <v>31</v>
      </c>
      <c r="C814" s="2">
        <v>10000</v>
      </c>
      <c r="D814" t="s">
        <v>89</v>
      </c>
      <c r="E814" s="16" t="s">
        <v>90</v>
      </c>
      <c r="G814" s="7"/>
      <c r="I814" s="7"/>
      <c r="K814" t="str">
        <f t="shared" si="36"/>
        <v/>
      </c>
      <c r="L814" t="str">
        <f t="shared" si="37"/>
        <v/>
      </c>
      <c r="M814" t="str">
        <f t="shared" si="38"/>
        <v>2026-01</v>
      </c>
    </row>
    <row r="815" spans="1:13" x14ac:dyDescent="0.25">
      <c r="A815" s="1">
        <v>46048</v>
      </c>
      <c r="B815" t="s">
        <v>108</v>
      </c>
      <c r="C815" s="2">
        <v>10080</v>
      </c>
      <c r="D815" t="s">
        <v>89</v>
      </c>
      <c r="E815" s="16" t="s">
        <v>90</v>
      </c>
      <c r="G815" s="7"/>
      <c r="I815" s="7"/>
      <c r="K815" t="str">
        <f t="shared" si="36"/>
        <v/>
      </c>
      <c r="L815" t="str">
        <f t="shared" si="37"/>
        <v/>
      </c>
      <c r="M815" t="str">
        <f t="shared" si="38"/>
        <v>2026-01</v>
      </c>
    </row>
    <row r="816" spans="1:13" x14ac:dyDescent="0.25">
      <c r="A816" s="1">
        <v>46048</v>
      </c>
      <c r="B816" t="s">
        <v>35</v>
      </c>
      <c r="C816" s="2">
        <v>7600</v>
      </c>
      <c r="D816" t="s">
        <v>89</v>
      </c>
      <c r="E816" s="16" t="s">
        <v>90</v>
      </c>
      <c r="G816" s="7"/>
      <c r="I816" s="7"/>
      <c r="K816" t="str">
        <f t="shared" si="36"/>
        <v/>
      </c>
      <c r="L816" t="str">
        <f t="shared" si="37"/>
        <v/>
      </c>
      <c r="M816" t="str">
        <f t="shared" si="38"/>
        <v>2026-01</v>
      </c>
    </row>
    <row r="817" spans="1:13" x14ac:dyDescent="0.25">
      <c r="A817" s="1">
        <v>46049</v>
      </c>
      <c r="B817" t="s">
        <v>26</v>
      </c>
      <c r="C817" s="2">
        <v>3150</v>
      </c>
      <c r="D817" t="s">
        <v>89</v>
      </c>
      <c r="E817" s="16" t="s">
        <v>90</v>
      </c>
      <c r="G817" s="7"/>
      <c r="I817" s="7"/>
      <c r="K817" t="str">
        <f t="shared" si="36"/>
        <v/>
      </c>
      <c r="L817" t="str">
        <f t="shared" si="37"/>
        <v/>
      </c>
      <c r="M817" t="str">
        <f t="shared" si="38"/>
        <v>2026-01</v>
      </c>
    </row>
    <row r="818" spans="1:13" x14ac:dyDescent="0.25">
      <c r="A818" s="1">
        <v>46049</v>
      </c>
      <c r="B818" t="s">
        <v>34</v>
      </c>
      <c r="C818" s="2">
        <v>10000</v>
      </c>
      <c r="D818" t="s">
        <v>89</v>
      </c>
      <c r="E818" s="16" t="s">
        <v>90</v>
      </c>
      <c r="G818" s="7"/>
      <c r="I818" s="7"/>
      <c r="K818" t="str">
        <f t="shared" si="36"/>
        <v/>
      </c>
      <c r="L818" t="str">
        <f t="shared" si="37"/>
        <v/>
      </c>
      <c r="M818" t="str">
        <f t="shared" si="38"/>
        <v>2026-01</v>
      </c>
    </row>
    <row r="819" spans="1:13" x14ac:dyDescent="0.25">
      <c r="A819" s="1">
        <v>46049</v>
      </c>
      <c r="B819" t="s">
        <v>33</v>
      </c>
      <c r="C819" s="2">
        <v>10400</v>
      </c>
      <c r="D819" t="s">
        <v>89</v>
      </c>
      <c r="E819" s="16" t="s">
        <v>90</v>
      </c>
      <c r="G819" s="7"/>
      <c r="I819" s="7"/>
      <c r="K819" t="str">
        <f t="shared" si="36"/>
        <v/>
      </c>
      <c r="L819" t="str">
        <f t="shared" si="37"/>
        <v/>
      </c>
      <c r="M819" t="str">
        <f t="shared" si="38"/>
        <v>2026-01</v>
      </c>
    </row>
    <row r="820" spans="1:13" x14ac:dyDescent="0.25">
      <c r="A820" s="1">
        <v>46049</v>
      </c>
      <c r="B820" t="s">
        <v>32</v>
      </c>
      <c r="C820" s="2">
        <v>1000</v>
      </c>
      <c r="D820" t="s">
        <v>89</v>
      </c>
      <c r="E820" s="16" t="s">
        <v>90</v>
      </c>
      <c r="G820" s="7"/>
      <c r="I820" s="7"/>
      <c r="K820" t="str">
        <f t="shared" si="36"/>
        <v/>
      </c>
      <c r="L820" t="str">
        <f t="shared" si="37"/>
        <v/>
      </c>
      <c r="M820" t="str">
        <f t="shared" si="38"/>
        <v>2026-01</v>
      </c>
    </row>
    <row r="821" spans="1:13" x14ac:dyDescent="0.25">
      <c r="A821" s="1">
        <v>46049</v>
      </c>
      <c r="B821" t="s">
        <v>24</v>
      </c>
      <c r="C821" s="2">
        <v>210</v>
      </c>
      <c r="D821" t="s">
        <v>89</v>
      </c>
      <c r="E821" s="16" t="s">
        <v>90</v>
      </c>
      <c r="G821" s="7"/>
      <c r="I821" s="7"/>
      <c r="K821" t="str">
        <f t="shared" si="36"/>
        <v/>
      </c>
      <c r="L821" t="str">
        <f t="shared" si="37"/>
        <v/>
      </c>
      <c r="M821" t="str">
        <f t="shared" si="38"/>
        <v>2026-01</v>
      </c>
    </row>
    <row r="822" spans="1:13" x14ac:dyDescent="0.25">
      <c r="A822" s="1">
        <v>46049</v>
      </c>
      <c r="B822" t="s">
        <v>99</v>
      </c>
      <c r="C822" s="2">
        <v>2200</v>
      </c>
      <c r="D822" t="s">
        <v>89</v>
      </c>
      <c r="E822" s="16" t="s">
        <v>90</v>
      </c>
      <c r="G822" s="7"/>
      <c r="I822" s="7"/>
      <c r="K822" t="str">
        <f t="shared" si="36"/>
        <v/>
      </c>
      <c r="L822" t="str">
        <f t="shared" si="37"/>
        <v/>
      </c>
      <c r="M822" t="str">
        <f t="shared" si="38"/>
        <v>2026-01</v>
      </c>
    </row>
    <row r="823" spans="1:13" x14ac:dyDescent="0.25">
      <c r="A823" s="1">
        <v>46049</v>
      </c>
      <c r="B823" t="s">
        <v>17</v>
      </c>
      <c r="C823" s="2">
        <v>1000</v>
      </c>
      <c r="D823" t="s">
        <v>89</v>
      </c>
      <c r="E823" s="16" t="s">
        <v>90</v>
      </c>
      <c r="G823" s="7"/>
      <c r="I823" s="7"/>
      <c r="K823" t="str">
        <f t="shared" si="36"/>
        <v/>
      </c>
      <c r="L823" t="str">
        <f t="shared" si="37"/>
        <v/>
      </c>
      <c r="M823" t="str">
        <f t="shared" si="38"/>
        <v>2026-01</v>
      </c>
    </row>
    <row r="824" spans="1:13" x14ac:dyDescent="0.25">
      <c r="A824" s="1">
        <v>46049</v>
      </c>
      <c r="B824" t="s">
        <v>29</v>
      </c>
      <c r="C824" s="2">
        <v>900</v>
      </c>
      <c r="D824" t="s">
        <v>89</v>
      </c>
      <c r="E824" s="16" t="s">
        <v>90</v>
      </c>
      <c r="G824" s="7"/>
      <c r="I824" s="7"/>
      <c r="K824" t="str">
        <f t="shared" si="36"/>
        <v/>
      </c>
      <c r="L824" t="str">
        <f t="shared" si="37"/>
        <v/>
      </c>
      <c r="M824" t="str">
        <f t="shared" si="38"/>
        <v>2026-01</v>
      </c>
    </row>
    <row r="825" spans="1:13" x14ac:dyDescent="0.25">
      <c r="A825" s="1">
        <v>46050</v>
      </c>
      <c r="B825" t="s">
        <v>27</v>
      </c>
      <c r="C825" s="2">
        <v>1050</v>
      </c>
      <c r="D825" t="s">
        <v>89</v>
      </c>
      <c r="E825" s="16" t="s">
        <v>90</v>
      </c>
      <c r="G825" s="7"/>
      <c r="I825" s="7"/>
      <c r="K825" t="str">
        <f t="shared" si="36"/>
        <v/>
      </c>
      <c r="L825" t="str">
        <f t="shared" si="37"/>
        <v/>
      </c>
      <c r="M825" t="str">
        <f t="shared" si="38"/>
        <v>2026-01</v>
      </c>
    </row>
    <row r="826" spans="1:13" x14ac:dyDescent="0.25">
      <c r="A826" s="1">
        <v>46050</v>
      </c>
      <c r="B826" t="s">
        <v>27</v>
      </c>
      <c r="C826" s="2">
        <v>1050</v>
      </c>
      <c r="D826" t="s">
        <v>89</v>
      </c>
      <c r="E826" s="16" t="s">
        <v>90</v>
      </c>
      <c r="G826" s="7"/>
      <c r="I826" s="7"/>
      <c r="K826" t="str">
        <f t="shared" si="36"/>
        <v/>
      </c>
      <c r="L826" t="str">
        <f t="shared" si="37"/>
        <v/>
      </c>
      <c r="M826" t="str">
        <f t="shared" si="38"/>
        <v>2026-01</v>
      </c>
    </row>
    <row r="827" spans="1:13" x14ac:dyDescent="0.25">
      <c r="A827" s="1">
        <v>46050</v>
      </c>
      <c r="B827" t="s">
        <v>25</v>
      </c>
      <c r="C827" s="2">
        <v>4000</v>
      </c>
      <c r="D827" t="s">
        <v>89</v>
      </c>
      <c r="E827" s="16" t="s">
        <v>90</v>
      </c>
      <c r="G827" s="7"/>
      <c r="I827" s="7"/>
      <c r="K827" t="str">
        <f t="shared" si="36"/>
        <v/>
      </c>
      <c r="L827" t="str">
        <f t="shared" si="37"/>
        <v/>
      </c>
      <c r="M827" t="str">
        <f t="shared" si="38"/>
        <v>2026-01</v>
      </c>
    </row>
    <row r="828" spans="1:13" x14ac:dyDescent="0.25">
      <c r="A828" s="1">
        <v>46050</v>
      </c>
      <c r="B828" t="s">
        <v>24</v>
      </c>
      <c r="C828" s="2">
        <v>620</v>
      </c>
      <c r="D828" t="s">
        <v>89</v>
      </c>
      <c r="E828" s="16" t="s">
        <v>90</v>
      </c>
      <c r="G828" s="7"/>
      <c r="I828" s="7"/>
      <c r="K828" t="str">
        <f t="shared" si="36"/>
        <v/>
      </c>
      <c r="L828" t="str">
        <f t="shared" si="37"/>
        <v/>
      </c>
      <c r="M828" t="str">
        <f t="shared" si="38"/>
        <v>2026-01</v>
      </c>
    </row>
    <row r="829" spans="1:13" x14ac:dyDescent="0.25">
      <c r="A829" s="1">
        <v>46050</v>
      </c>
      <c r="B829" t="s">
        <v>96</v>
      </c>
      <c r="C829" s="2">
        <v>1250</v>
      </c>
      <c r="D829" t="s">
        <v>89</v>
      </c>
      <c r="E829" s="16" t="s">
        <v>90</v>
      </c>
      <c r="G829" s="7"/>
      <c r="I829" s="7"/>
      <c r="K829" t="str">
        <f t="shared" si="36"/>
        <v/>
      </c>
      <c r="L829" t="str">
        <f t="shared" si="37"/>
        <v/>
      </c>
      <c r="M829" t="str">
        <f t="shared" si="38"/>
        <v>2026-01</v>
      </c>
    </row>
    <row r="830" spans="1:13" x14ac:dyDescent="0.25">
      <c r="A830" s="1">
        <v>46050</v>
      </c>
      <c r="B830" t="s">
        <v>92</v>
      </c>
      <c r="C830" s="2">
        <v>1350</v>
      </c>
      <c r="D830" t="s">
        <v>89</v>
      </c>
      <c r="E830" s="16" t="s">
        <v>90</v>
      </c>
      <c r="G830" s="7"/>
      <c r="I830" s="7"/>
      <c r="K830" t="str">
        <f t="shared" si="36"/>
        <v/>
      </c>
      <c r="L830" t="str">
        <f t="shared" si="37"/>
        <v/>
      </c>
      <c r="M830" t="str">
        <f t="shared" si="38"/>
        <v>2026-01</v>
      </c>
    </row>
    <row r="831" spans="1:13" x14ac:dyDescent="0.25">
      <c r="A831" s="1">
        <v>46050</v>
      </c>
      <c r="B831" t="s">
        <v>92</v>
      </c>
      <c r="C831" s="2">
        <v>4050</v>
      </c>
      <c r="D831" t="s">
        <v>89</v>
      </c>
      <c r="E831" s="16" t="s">
        <v>90</v>
      </c>
      <c r="G831" s="7"/>
      <c r="I831" s="7"/>
      <c r="K831" t="str">
        <f t="shared" si="36"/>
        <v/>
      </c>
      <c r="L831" t="str">
        <f t="shared" si="37"/>
        <v/>
      </c>
      <c r="M831" t="str">
        <f t="shared" si="38"/>
        <v>2026-01</v>
      </c>
    </row>
    <row r="832" spans="1:13" x14ac:dyDescent="0.25">
      <c r="A832" s="1">
        <v>46050</v>
      </c>
      <c r="B832" t="s">
        <v>9</v>
      </c>
      <c r="C832" s="2">
        <v>900</v>
      </c>
      <c r="D832" t="s">
        <v>89</v>
      </c>
      <c r="E832" s="16" t="s">
        <v>90</v>
      </c>
      <c r="G832" s="7"/>
      <c r="I832" s="7"/>
      <c r="K832" t="str">
        <f t="shared" si="36"/>
        <v/>
      </c>
      <c r="L832" t="str">
        <f t="shared" si="37"/>
        <v/>
      </c>
      <c r="M832" t="str">
        <f t="shared" si="38"/>
        <v>2026-01</v>
      </c>
    </row>
    <row r="833" spans="1:13" x14ac:dyDescent="0.25">
      <c r="A833" s="1">
        <v>46050</v>
      </c>
      <c r="B833" t="s">
        <v>30</v>
      </c>
      <c r="C833" s="2">
        <v>8500</v>
      </c>
      <c r="D833" t="s">
        <v>89</v>
      </c>
      <c r="E833" s="16" t="s">
        <v>90</v>
      </c>
      <c r="G833" s="7"/>
      <c r="I833" s="7"/>
      <c r="K833" t="str">
        <f t="shared" si="36"/>
        <v/>
      </c>
      <c r="L833" t="str">
        <f t="shared" si="37"/>
        <v/>
      </c>
      <c r="M833" t="str">
        <f t="shared" si="38"/>
        <v>2026-01</v>
      </c>
    </row>
    <row r="834" spans="1:13" x14ac:dyDescent="0.25">
      <c r="A834" s="1">
        <v>46051</v>
      </c>
      <c r="B834" t="s">
        <v>13</v>
      </c>
      <c r="C834" s="2">
        <v>1000</v>
      </c>
      <c r="D834" t="s">
        <v>89</v>
      </c>
      <c r="E834" s="16" t="s">
        <v>90</v>
      </c>
      <c r="G834" s="7"/>
      <c r="I834" s="7"/>
      <c r="K834" t="str">
        <f t="shared" ref="K834:K897" si="39">IF(AND(L834&lt;&gt;"",C834&gt;0),L834/C834,"")</f>
        <v/>
      </c>
      <c r="L834" t="str">
        <f t="shared" ref="L834:L897" si="40">IF(AND(D834="FINALIZADO",H834&lt;&gt;""),VALUE(LEFT(H834,FIND("h",H834)-1))*60+VALUE(MID(H834,FIND("h",H834)+2,FIND("min",H834)-FIND("h",H834)-2)),"")</f>
        <v/>
      </c>
      <c r="M834" t="str">
        <f t="shared" ref="M834:M897" si="41">TEXT(YEAR(A834),"0000")&amp;"-"&amp;TEXT(MONTH(A834),"00")</f>
        <v>2026-01</v>
      </c>
    </row>
    <row r="835" spans="1:13" x14ac:dyDescent="0.25">
      <c r="A835" s="1">
        <v>46051</v>
      </c>
      <c r="B835" t="s">
        <v>25</v>
      </c>
      <c r="C835" s="2">
        <v>4000</v>
      </c>
      <c r="D835" t="s">
        <v>89</v>
      </c>
      <c r="E835" s="16" t="s">
        <v>90</v>
      </c>
      <c r="G835" s="7"/>
      <c r="I835" s="7"/>
      <c r="K835" t="str">
        <f t="shared" si="39"/>
        <v/>
      </c>
      <c r="L835" t="str">
        <f t="shared" si="40"/>
        <v/>
      </c>
      <c r="M835" t="str">
        <f t="shared" si="41"/>
        <v>2026-01</v>
      </c>
    </row>
    <row r="836" spans="1:13" x14ac:dyDescent="0.25">
      <c r="A836" s="1">
        <v>46051</v>
      </c>
      <c r="B836" t="s">
        <v>92</v>
      </c>
      <c r="C836" s="2">
        <v>1350</v>
      </c>
      <c r="D836" t="s">
        <v>89</v>
      </c>
      <c r="E836" s="16" t="s">
        <v>90</v>
      </c>
      <c r="G836" s="7"/>
      <c r="I836" s="7"/>
      <c r="K836" t="str">
        <f t="shared" si="39"/>
        <v/>
      </c>
      <c r="L836" t="str">
        <f t="shared" si="40"/>
        <v/>
      </c>
      <c r="M836" t="str">
        <f t="shared" si="41"/>
        <v>2026-01</v>
      </c>
    </row>
    <row r="837" spans="1:13" x14ac:dyDescent="0.25">
      <c r="A837" s="1">
        <v>46051</v>
      </c>
      <c r="B837" t="s">
        <v>107</v>
      </c>
      <c r="C837" s="2">
        <v>16500</v>
      </c>
      <c r="D837" t="s">
        <v>89</v>
      </c>
      <c r="E837" s="16" t="s">
        <v>90</v>
      </c>
      <c r="G837" s="7"/>
      <c r="I837" s="7"/>
      <c r="K837" t="str">
        <f t="shared" si="39"/>
        <v/>
      </c>
      <c r="L837" t="str">
        <f t="shared" si="40"/>
        <v/>
      </c>
      <c r="M837" t="str">
        <f t="shared" si="41"/>
        <v>2026-01</v>
      </c>
    </row>
    <row r="838" spans="1:13" x14ac:dyDescent="0.25">
      <c r="A838" s="1">
        <v>46051</v>
      </c>
      <c r="B838" t="s">
        <v>14</v>
      </c>
      <c r="C838" s="2">
        <v>485</v>
      </c>
      <c r="D838" t="s">
        <v>89</v>
      </c>
      <c r="E838" s="16" t="s">
        <v>90</v>
      </c>
      <c r="G838" s="7"/>
      <c r="I838" s="7"/>
      <c r="K838" t="str">
        <f t="shared" si="39"/>
        <v/>
      </c>
      <c r="L838" t="str">
        <f t="shared" si="40"/>
        <v/>
      </c>
      <c r="M838" t="str">
        <f t="shared" si="41"/>
        <v>2026-01</v>
      </c>
    </row>
    <row r="839" spans="1:13" x14ac:dyDescent="0.25">
      <c r="A839" s="1">
        <v>46051</v>
      </c>
      <c r="B839" t="s">
        <v>7</v>
      </c>
      <c r="C839" s="2">
        <v>1000</v>
      </c>
      <c r="D839" t="s">
        <v>89</v>
      </c>
      <c r="E839" s="16" t="s">
        <v>90</v>
      </c>
      <c r="G839" s="7"/>
      <c r="I839" s="7"/>
      <c r="K839" t="str">
        <f t="shared" si="39"/>
        <v/>
      </c>
      <c r="L839" t="str">
        <f t="shared" si="40"/>
        <v/>
      </c>
      <c r="M839" t="str">
        <f t="shared" si="41"/>
        <v>2026-01</v>
      </c>
    </row>
    <row r="840" spans="1:13" x14ac:dyDescent="0.25">
      <c r="A840" s="1">
        <v>46052</v>
      </c>
      <c r="B840" t="s">
        <v>32</v>
      </c>
      <c r="C840" s="2">
        <v>6300</v>
      </c>
      <c r="D840" t="s">
        <v>89</v>
      </c>
      <c r="E840" s="16" t="s">
        <v>90</v>
      </c>
      <c r="G840" s="7"/>
      <c r="I840" s="7"/>
      <c r="K840" t="str">
        <f t="shared" si="39"/>
        <v/>
      </c>
      <c r="L840" t="str">
        <f t="shared" si="40"/>
        <v/>
      </c>
      <c r="M840" t="str">
        <f t="shared" si="41"/>
        <v>2026-01</v>
      </c>
    </row>
    <row r="841" spans="1:13" x14ac:dyDescent="0.25">
      <c r="A841" s="1">
        <v>46052</v>
      </c>
      <c r="B841" t="s">
        <v>32</v>
      </c>
      <c r="C841" s="2">
        <v>5850</v>
      </c>
      <c r="D841" t="s">
        <v>89</v>
      </c>
      <c r="E841" s="16" t="s">
        <v>90</v>
      </c>
      <c r="G841" s="7"/>
      <c r="I841" s="7"/>
      <c r="K841" t="str">
        <f t="shared" si="39"/>
        <v/>
      </c>
      <c r="L841" t="str">
        <f t="shared" si="40"/>
        <v/>
      </c>
      <c r="M841" t="str">
        <f t="shared" si="41"/>
        <v>2026-01</v>
      </c>
    </row>
    <row r="842" spans="1:13" x14ac:dyDescent="0.25">
      <c r="A842" s="1">
        <v>46052</v>
      </c>
      <c r="B842" t="s">
        <v>24</v>
      </c>
      <c r="C842" s="2">
        <v>2100</v>
      </c>
      <c r="D842" t="s">
        <v>89</v>
      </c>
      <c r="E842" s="16" t="s">
        <v>90</v>
      </c>
      <c r="G842" s="7"/>
      <c r="I842" s="7"/>
      <c r="K842" t="str">
        <f t="shared" si="39"/>
        <v/>
      </c>
      <c r="L842" t="str">
        <f t="shared" si="40"/>
        <v/>
      </c>
      <c r="M842" t="str">
        <f t="shared" si="41"/>
        <v>2026-01</v>
      </c>
    </row>
    <row r="843" spans="1:13" x14ac:dyDescent="0.25">
      <c r="A843" s="1">
        <v>46052</v>
      </c>
      <c r="B843" t="s">
        <v>16</v>
      </c>
      <c r="C843" s="2">
        <v>2000</v>
      </c>
      <c r="D843" t="s">
        <v>89</v>
      </c>
      <c r="E843" s="16" t="s">
        <v>90</v>
      </c>
      <c r="G843" s="7"/>
      <c r="I843" s="7"/>
      <c r="K843" t="str">
        <f t="shared" si="39"/>
        <v/>
      </c>
      <c r="L843" t="str">
        <f t="shared" si="40"/>
        <v/>
      </c>
      <c r="M843" t="str">
        <f t="shared" si="41"/>
        <v>2026-01</v>
      </c>
    </row>
    <row r="844" spans="1:13" x14ac:dyDescent="0.25">
      <c r="A844" s="1">
        <v>46052</v>
      </c>
      <c r="B844" t="s">
        <v>22</v>
      </c>
      <c r="C844" s="2">
        <v>1000</v>
      </c>
      <c r="D844" t="s">
        <v>89</v>
      </c>
      <c r="E844" s="16" t="s">
        <v>90</v>
      </c>
      <c r="G844" s="7"/>
      <c r="I844" s="7"/>
      <c r="K844" t="str">
        <f t="shared" si="39"/>
        <v/>
      </c>
      <c r="L844" t="str">
        <f t="shared" si="40"/>
        <v/>
      </c>
      <c r="M844" t="str">
        <f t="shared" si="41"/>
        <v>2026-01</v>
      </c>
    </row>
    <row r="845" spans="1:13" x14ac:dyDescent="0.25">
      <c r="A845" s="1">
        <v>46052</v>
      </c>
      <c r="B845" t="s">
        <v>22</v>
      </c>
      <c r="C845" s="2">
        <v>1000</v>
      </c>
      <c r="D845" t="s">
        <v>89</v>
      </c>
      <c r="E845" s="16" t="s">
        <v>90</v>
      </c>
      <c r="G845" s="7"/>
      <c r="I845" s="7"/>
      <c r="K845" t="str">
        <f t="shared" si="39"/>
        <v/>
      </c>
      <c r="L845" t="str">
        <f t="shared" si="40"/>
        <v/>
      </c>
      <c r="M845" t="str">
        <f t="shared" si="41"/>
        <v>2026-01</v>
      </c>
    </row>
    <row r="846" spans="1:13" x14ac:dyDescent="0.25">
      <c r="A846" s="1">
        <v>46052</v>
      </c>
      <c r="B846" t="s">
        <v>25</v>
      </c>
      <c r="C846" s="2">
        <v>2000</v>
      </c>
      <c r="D846" t="s">
        <v>89</v>
      </c>
      <c r="E846" s="16" t="s">
        <v>90</v>
      </c>
      <c r="G846" s="7"/>
      <c r="I846" s="7"/>
      <c r="K846" t="str">
        <f t="shared" si="39"/>
        <v/>
      </c>
      <c r="L846" t="str">
        <f t="shared" si="40"/>
        <v/>
      </c>
      <c r="M846" t="str">
        <f t="shared" si="41"/>
        <v>2026-01</v>
      </c>
    </row>
    <row r="847" spans="1:13" x14ac:dyDescent="0.25">
      <c r="A847" s="1">
        <v>46052</v>
      </c>
      <c r="B847" t="s">
        <v>92</v>
      </c>
      <c r="C847" s="2">
        <v>8100</v>
      </c>
      <c r="D847" t="s">
        <v>89</v>
      </c>
      <c r="E847" s="16" t="s">
        <v>90</v>
      </c>
      <c r="G847" s="7"/>
      <c r="I847" s="7"/>
      <c r="K847" t="str">
        <f t="shared" si="39"/>
        <v/>
      </c>
      <c r="L847" t="str">
        <f t="shared" si="40"/>
        <v/>
      </c>
      <c r="M847" t="str">
        <f t="shared" si="41"/>
        <v>2026-01</v>
      </c>
    </row>
    <row r="848" spans="1:13" x14ac:dyDescent="0.25">
      <c r="A848" s="1">
        <v>46052</v>
      </c>
      <c r="B848" t="s">
        <v>96</v>
      </c>
      <c r="C848" s="2">
        <v>1000</v>
      </c>
      <c r="D848" t="s">
        <v>89</v>
      </c>
      <c r="E848" s="16" t="s">
        <v>90</v>
      </c>
      <c r="G848" s="7"/>
      <c r="I848" s="7"/>
      <c r="K848" t="str">
        <f t="shared" si="39"/>
        <v/>
      </c>
      <c r="L848" t="str">
        <f t="shared" si="40"/>
        <v/>
      </c>
      <c r="M848" t="str">
        <f t="shared" si="41"/>
        <v>2026-01</v>
      </c>
    </row>
    <row r="849" spans="1:13" x14ac:dyDescent="0.25">
      <c r="A849" s="1">
        <v>46052</v>
      </c>
      <c r="B849" t="s">
        <v>92</v>
      </c>
      <c r="C849" s="2">
        <v>4050</v>
      </c>
      <c r="D849" t="s">
        <v>89</v>
      </c>
      <c r="E849" s="16" t="s">
        <v>90</v>
      </c>
      <c r="G849" s="7"/>
      <c r="I849" s="7"/>
      <c r="K849" t="str">
        <f t="shared" si="39"/>
        <v/>
      </c>
      <c r="L849" t="str">
        <f t="shared" si="40"/>
        <v/>
      </c>
      <c r="M849" t="str">
        <f t="shared" si="41"/>
        <v>2026-01</v>
      </c>
    </row>
    <row r="850" spans="1:13" x14ac:dyDescent="0.25">
      <c r="A850" s="1">
        <v>46052</v>
      </c>
      <c r="B850" t="s">
        <v>92</v>
      </c>
      <c r="C850" s="2">
        <v>2700</v>
      </c>
      <c r="D850" t="s">
        <v>89</v>
      </c>
      <c r="E850" s="16" t="s">
        <v>90</v>
      </c>
      <c r="G850" s="7"/>
      <c r="I850" s="7"/>
      <c r="K850" t="str">
        <f t="shared" si="39"/>
        <v/>
      </c>
      <c r="L850" t="str">
        <f t="shared" si="40"/>
        <v/>
      </c>
      <c r="M850" t="str">
        <f t="shared" si="41"/>
        <v>2026-01</v>
      </c>
    </row>
    <row r="851" spans="1:13" x14ac:dyDescent="0.25">
      <c r="A851" s="1">
        <v>46053</v>
      </c>
      <c r="B851" t="s">
        <v>108</v>
      </c>
      <c r="C851" s="2">
        <v>11200</v>
      </c>
      <c r="D851" t="s">
        <v>89</v>
      </c>
      <c r="E851" s="16" t="s">
        <v>90</v>
      </c>
      <c r="G851" s="7"/>
      <c r="I851" s="7"/>
      <c r="K851" t="str">
        <f t="shared" si="39"/>
        <v/>
      </c>
      <c r="L851" t="str">
        <f t="shared" si="40"/>
        <v/>
      </c>
      <c r="M851" t="str">
        <f t="shared" si="41"/>
        <v>2026-01</v>
      </c>
    </row>
    <row r="852" spans="1:13" x14ac:dyDescent="0.25">
      <c r="A852" s="1">
        <v>46055</v>
      </c>
      <c r="B852" t="s">
        <v>27</v>
      </c>
      <c r="C852" s="2">
        <v>2100</v>
      </c>
      <c r="D852" t="s">
        <v>89</v>
      </c>
      <c r="E852" s="16" t="s">
        <v>90</v>
      </c>
      <c r="G852" s="7"/>
      <c r="I852" s="7"/>
      <c r="K852" t="str">
        <f t="shared" si="39"/>
        <v/>
      </c>
      <c r="L852" t="str">
        <f t="shared" si="40"/>
        <v/>
      </c>
      <c r="M852" t="str">
        <f t="shared" si="41"/>
        <v>2026-02</v>
      </c>
    </row>
    <row r="853" spans="1:13" x14ac:dyDescent="0.25">
      <c r="A853" s="1">
        <v>46055</v>
      </c>
      <c r="B853" t="s">
        <v>107</v>
      </c>
      <c r="C853" s="2">
        <v>16500</v>
      </c>
      <c r="D853" t="s">
        <v>89</v>
      </c>
      <c r="E853" s="16" t="s">
        <v>90</v>
      </c>
      <c r="G853" s="7"/>
      <c r="I853" s="7"/>
      <c r="K853" t="str">
        <f t="shared" si="39"/>
        <v/>
      </c>
      <c r="L853" t="str">
        <f t="shared" si="40"/>
        <v/>
      </c>
      <c r="M853" t="str">
        <f t="shared" si="41"/>
        <v>2026-02</v>
      </c>
    </row>
    <row r="854" spans="1:13" x14ac:dyDescent="0.25">
      <c r="A854" s="1">
        <v>46055</v>
      </c>
      <c r="B854" t="s">
        <v>99</v>
      </c>
      <c r="C854" s="2">
        <v>1100</v>
      </c>
      <c r="D854" t="s">
        <v>89</v>
      </c>
      <c r="E854" s="16" t="s">
        <v>90</v>
      </c>
      <c r="G854" s="7"/>
      <c r="I854" s="7"/>
      <c r="K854" t="str">
        <f t="shared" si="39"/>
        <v/>
      </c>
      <c r="L854" t="str">
        <f t="shared" si="40"/>
        <v/>
      </c>
      <c r="M854" t="str">
        <f t="shared" si="41"/>
        <v>2026-02</v>
      </c>
    </row>
    <row r="855" spans="1:13" x14ac:dyDescent="0.25">
      <c r="A855" s="1">
        <v>46055</v>
      </c>
      <c r="B855" t="s">
        <v>100</v>
      </c>
      <c r="C855" s="2">
        <v>1000</v>
      </c>
      <c r="D855" t="s">
        <v>89</v>
      </c>
      <c r="E855" s="16" t="s">
        <v>90</v>
      </c>
      <c r="G855" s="7"/>
      <c r="I855" s="7"/>
      <c r="K855" t="str">
        <f t="shared" si="39"/>
        <v/>
      </c>
      <c r="L855" t="str">
        <f t="shared" si="40"/>
        <v/>
      </c>
      <c r="M855" t="str">
        <f t="shared" si="41"/>
        <v>2026-02</v>
      </c>
    </row>
    <row r="856" spans="1:13" x14ac:dyDescent="0.25">
      <c r="A856" s="1">
        <v>46056</v>
      </c>
      <c r="B856" t="s">
        <v>29</v>
      </c>
      <c r="C856" s="2">
        <v>6300</v>
      </c>
      <c r="D856" t="s">
        <v>89</v>
      </c>
      <c r="E856" s="16" t="s">
        <v>90</v>
      </c>
      <c r="G856" s="7"/>
      <c r="I856" s="7"/>
      <c r="K856" t="str">
        <f t="shared" si="39"/>
        <v/>
      </c>
      <c r="L856" t="str">
        <f t="shared" si="40"/>
        <v/>
      </c>
      <c r="M856" t="str">
        <f t="shared" si="41"/>
        <v>2026-02</v>
      </c>
    </row>
    <row r="857" spans="1:13" x14ac:dyDescent="0.25">
      <c r="A857" s="1">
        <v>46056</v>
      </c>
      <c r="B857" t="s">
        <v>31</v>
      </c>
      <c r="C857" s="2">
        <v>10000</v>
      </c>
      <c r="D857" t="s">
        <v>89</v>
      </c>
      <c r="E857" s="16" t="s">
        <v>90</v>
      </c>
      <c r="G857" s="7"/>
      <c r="I857" s="7"/>
      <c r="K857" t="str">
        <f t="shared" si="39"/>
        <v/>
      </c>
      <c r="L857" t="str">
        <f t="shared" si="40"/>
        <v/>
      </c>
      <c r="M857" t="str">
        <f t="shared" si="41"/>
        <v>2026-02</v>
      </c>
    </row>
    <row r="858" spans="1:13" x14ac:dyDescent="0.25">
      <c r="A858" s="1">
        <v>46056</v>
      </c>
      <c r="B858" t="s">
        <v>33</v>
      </c>
      <c r="C858" s="2">
        <v>10400</v>
      </c>
      <c r="D858" t="s">
        <v>89</v>
      </c>
      <c r="E858" s="16" t="s">
        <v>90</v>
      </c>
      <c r="G858" s="7"/>
      <c r="I858" s="7"/>
      <c r="K858" t="str">
        <f t="shared" si="39"/>
        <v/>
      </c>
      <c r="L858" t="str">
        <f t="shared" si="40"/>
        <v/>
      </c>
      <c r="M858" t="str">
        <f t="shared" si="41"/>
        <v>2026-02</v>
      </c>
    </row>
    <row r="859" spans="1:13" x14ac:dyDescent="0.25">
      <c r="A859" s="1">
        <v>46057</v>
      </c>
      <c r="B859" t="s">
        <v>31</v>
      </c>
      <c r="C859" s="2">
        <v>10000</v>
      </c>
      <c r="D859" t="s">
        <v>89</v>
      </c>
      <c r="E859" s="16" t="s">
        <v>90</v>
      </c>
      <c r="G859" s="7"/>
      <c r="I859" s="7"/>
      <c r="K859" t="str">
        <f t="shared" si="39"/>
        <v/>
      </c>
      <c r="L859" t="str">
        <f t="shared" si="40"/>
        <v/>
      </c>
      <c r="M859" t="str">
        <f t="shared" si="41"/>
        <v>2026-02</v>
      </c>
    </row>
    <row r="860" spans="1:13" x14ac:dyDescent="0.25">
      <c r="A860" s="1">
        <v>46057</v>
      </c>
      <c r="B860" t="s">
        <v>35</v>
      </c>
      <c r="C860" s="2">
        <v>10000</v>
      </c>
      <c r="D860" t="s">
        <v>89</v>
      </c>
      <c r="E860" s="16" t="s">
        <v>90</v>
      </c>
      <c r="G860" s="7"/>
      <c r="I860" s="7"/>
      <c r="K860" t="str">
        <f t="shared" si="39"/>
        <v/>
      </c>
      <c r="L860" t="str">
        <f t="shared" si="40"/>
        <v/>
      </c>
      <c r="M860" t="str">
        <f t="shared" si="41"/>
        <v>2026-02</v>
      </c>
    </row>
    <row r="861" spans="1:13" x14ac:dyDescent="0.25">
      <c r="A861" s="1">
        <v>46057</v>
      </c>
      <c r="B861" t="s">
        <v>94</v>
      </c>
      <c r="C861" s="2">
        <v>2000</v>
      </c>
      <c r="D861" t="s">
        <v>89</v>
      </c>
      <c r="E861" s="16" t="s">
        <v>90</v>
      </c>
      <c r="G861" s="7"/>
      <c r="I861" s="7"/>
      <c r="K861" t="str">
        <f t="shared" si="39"/>
        <v/>
      </c>
      <c r="L861" t="str">
        <f t="shared" si="40"/>
        <v/>
      </c>
      <c r="M861" t="str">
        <f t="shared" si="41"/>
        <v>2026-02</v>
      </c>
    </row>
    <row r="862" spans="1:13" x14ac:dyDescent="0.25">
      <c r="A862" s="1">
        <v>46058</v>
      </c>
      <c r="B862" t="s">
        <v>29</v>
      </c>
      <c r="C862" s="2">
        <v>900</v>
      </c>
      <c r="D862" t="s">
        <v>89</v>
      </c>
      <c r="E862" s="16" t="s">
        <v>90</v>
      </c>
      <c r="G862" s="7"/>
      <c r="I862" s="7"/>
      <c r="K862" t="str">
        <f t="shared" si="39"/>
        <v/>
      </c>
      <c r="L862" t="str">
        <f t="shared" si="40"/>
        <v/>
      </c>
      <c r="M862" t="str">
        <f t="shared" si="41"/>
        <v>2026-02</v>
      </c>
    </row>
    <row r="863" spans="1:13" x14ac:dyDescent="0.25">
      <c r="A863" s="1">
        <v>46058</v>
      </c>
      <c r="B863" t="s">
        <v>25</v>
      </c>
      <c r="C863" s="2">
        <v>2000</v>
      </c>
      <c r="D863" t="s">
        <v>89</v>
      </c>
      <c r="E863" s="16" t="s">
        <v>90</v>
      </c>
      <c r="G863" s="7"/>
      <c r="I863" s="7"/>
      <c r="K863" t="str">
        <f t="shared" si="39"/>
        <v/>
      </c>
      <c r="L863" t="str">
        <f t="shared" si="40"/>
        <v/>
      </c>
      <c r="M863" t="str">
        <f t="shared" si="41"/>
        <v>2026-02</v>
      </c>
    </row>
    <row r="864" spans="1:13" x14ac:dyDescent="0.25">
      <c r="A864" s="1">
        <v>46058</v>
      </c>
      <c r="B864" t="s">
        <v>99</v>
      </c>
      <c r="C864" s="2">
        <v>6600</v>
      </c>
      <c r="D864" t="s">
        <v>89</v>
      </c>
      <c r="E864" s="16" t="s">
        <v>90</v>
      </c>
      <c r="G864" s="7"/>
      <c r="I864" s="7"/>
      <c r="K864" t="str">
        <f t="shared" si="39"/>
        <v/>
      </c>
      <c r="L864" t="str">
        <f t="shared" si="40"/>
        <v/>
      </c>
      <c r="M864" t="str">
        <f t="shared" si="41"/>
        <v>2026-02</v>
      </c>
    </row>
    <row r="865" spans="1:13" x14ac:dyDescent="0.25">
      <c r="A865" s="1">
        <v>46059</v>
      </c>
      <c r="B865" t="s">
        <v>27</v>
      </c>
      <c r="C865" s="2">
        <v>1050</v>
      </c>
      <c r="D865" t="s">
        <v>89</v>
      </c>
      <c r="E865" s="16" t="s">
        <v>90</v>
      </c>
      <c r="G865" s="7"/>
      <c r="I865" s="7"/>
      <c r="K865" t="str">
        <f t="shared" si="39"/>
        <v/>
      </c>
      <c r="L865" t="str">
        <f t="shared" si="40"/>
        <v/>
      </c>
      <c r="M865" t="str">
        <f t="shared" si="41"/>
        <v>2026-02</v>
      </c>
    </row>
    <row r="866" spans="1:13" x14ac:dyDescent="0.25">
      <c r="A866" s="1">
        <v>46059</v>
      </c>
      <c r="B866" t="s">
        <v>34</v>
      </c>
      <c r="C866" s="2">
        <v>16170</v>
      </c>
      <c r="D866" t="s">
        <v>89</v>
      </c>
      <c r="E866" s="16" t="s">
        <v>90</v>
      </c>
      <c r="G866" s="7"/>
      <c r="I866" s="7"/>
      <c r="K866" t="str">
        <f t="shared" si="39"/>
        <v/>
      </c>
      <c r="L866" t="str">
        <f t="shared" si="40"/>
        <v/>
      </c>
      <c r="M866" t="str">
        <f t="shared" si="41"/>
        <v>2026-02</v>
      </c>
    </row>
    <row r="867" spans="1:13" x14ac:dyDescent="0.25">
      <c r="A867" s="1">
        <v>46059</v>
      </c>
      <c r="B867" t="s">
        <v>29</v>
      </c>
      <c r="C867" s="2">
        <v>1800</v>
      </c>
      <c r="D867" t="s">
        <v>89</v>
      </c>
      <c r="E867" s="16" t="s">
        <v>90</v>
      </c>
      <c r="G867" s="7"/>
      <c r="I867" s="7"/>
      <c r="K867" t="str">
        <f t="shared" si="39"/>
        <v/>
      </c>
      <c r="L867" t="str">
        <f t="shared" si="40"/>
        <v/>
      </c>
      <c r="M867" t="str">
        <f t="shared" si="41"/>
        <v>2026-02</v>
      </c>
    </row>
    <row r="868" spans="1:13" x14ac:dyDescent="0.25">
      <c r="A868" s="1">
        <v>46059</v>
      </c>
      <c r="B868" t="s">
        <v>16</v>
      </c>
      <c r="C868" s="2">
        <v>2000</v>
      </c>
      <c r="D868" t="s">
        <v>89</v>
      </c>
      <c r="E868" s="16" t="s">
        <v>90</v>
      </c>
      <c r="G868" s="7"/>
      <c r="I868" s="7"/>
      <c r="K868" t="str">
        <f t="shared" si="39"/>
        <v/>
      </c>
      <c r="L868" t="str">
        <f t="shared" si="40"/>
        <v/>
      </c>
      <c r="M868" t="str">
        <f t="shared" si="41"/>
        <v>2026-02</v>
      </c>
    </row>
    <row r="869" spans="1:13" x14ac:dyDescent="0.25">
      <c r="A869" s="1">
        <v>46059</v>
      </c>
      <c r="B869" t="s">
        <v>107</v>
      </c>
      <c r="C869" s="2">
        <v>16500</v>
      </c>
      <c r="D869" t="s">
        <v>89</v>
      </c>
      <c r="E869" s="16" t="s">
        <v>90</v>
      </c>
      <c r="G869" s="7"/>
      <c r="I869" s="7"/>
      <c r="K869" t="str">
        <f t="shared" si="39"/>
        <v/>
      </c>
      <c r="L869" t="str">
        <f t="shared" si="40"/>
        <v/>
      </c>
      <c r="M869" t="str">
        <f t="shared" si="41"/>
        <v>2026-02</v>
      </c>
    </row>
    <row r="870" spans="1:13" x14ac:dyDescent="0.25">
      <c r="A870" s="1">
        <v>46059</v>
      </c>
      <c r="B870" t="s">
        <v>35</v>
      </c>
      <c r="C870" s="2">
        <v>10000</v>
      </c>
      <c r="D870" t="s">
        <v>89</v>
      </c>
      <c r="E870" s="16" t="s">
        <v>90</v>
      </c>
      <c r="G870" s="7"/>
      <c r="I870" s="7"/>
      <c r="K870" t="str">
        <f t="shared" si="39"/>
        <v/>
      </c>
      <c r="L870" t="str">
        <f t="shared" si="40"/>
        <v/>
      </c>
      <c r="M870" t="str">
        <f t="shared" si="41"/>
        <v>2026-02</v>
      </c>
    </row>
    <row r="871" spans="1:13" x14ac:dyDescent="0.25">
      <c r="A871" s="1">
        <v>46062</v>
      </c>
      <c r="B871" t="s">
        <v>34</v>
      </c>
      <c r="C871" s="2">
        <v>10000</v>
      </c>
      <c r="D871" t="s">
        <v>89</v>
      </c>
      <c r="E871" s="16" t="s">
        <v>90</v>
      </c>
      <c r="G871" s="7"/>
      <c r="I871" s="7"/>
      <c r="K871" t="str">
        <f t="shared" si="39"/>
        <v/>
      </c>
      <c r="L871" t="str">
        <f t="shared" si="40"/>
        <v/>
      </c>
      <c r="M871" t="str">
        <f t="shared" si="41"/>
        <v>2026-02</v>
      </c>
    </row>
    <row r="872" spans="1:13" x14ac:dyDescent="0.25">
      <c r="A872" s="1">
        <v>46062</v>
      </c>
      <c r="B872" t="s">
        <v>29</v>
      </c>
      <c r="C872" s="2">
        <v>4500</v>
      </c>
      <c r="D872" t="s">
        <v>89</v>
      </c>
      <c r="E872" s="16" t="s">
        <v>90</v>
      </c>
      <c r="G872" s="7"/>
      <c r="I872" s="7"/>
      <c r="K872" t="str">
        <f t="shared" si="39"/>
        <v/>
      </c>
      <c r="L872" t="str">
        <f t="shared" si="40"/>
        <v/>
      </c>
      <c r="M872" t="str">
        <f t="shared" si="41"/>
        <v>2026-02</v>
      </c>
    </row>
    <row r="873" spans="1:13" x14ac:dyDescent="0.25">
      <c r="A873" s="1">
        <v>46062</v>
      </c>
      <c r="B873" t="s">
        <v>99</v>
      </c>
      <c r="C873" s="2">
        <v>8800</v>
      </c>
      <c r="D873" t="s">
        <v>89</v>
      </c>
      <c r="E873" s="16" t="s">
        <v>90</v>
      </c>
      <c r="G873" s="7"/>
      <c r="I873" s="7"/>
      <c r="K873" t="str">
        <f t="shared" si="39"/>
        <v/>
      </c>
      <c r="L873" t="str">
        <f t="shared" si="40"/>
        <v/>
      </c>
      <c r="M873" t="str">
        <f t="shared" si="41"/>
        <v>2026-02</v>
      </c>
    </row>
    <row r="874" spans="1:13" x14ac:dyDescent="0.25">
      <c r="A874" s="1">
        <v>46062</v>
      </c>
      <c r="B874" t="s">
        <v>27</v>
      </c>
      <c r="C874" s="2">
        <v>4200</v>
      </c>
      <c r="D874" t="s">
        <v>89</v>
      </c>
      <c r="E874" s="16" t="s">
        <v>90</v>
      </c>
      <c r="G874" s="7"/>
      <c r="I874" s="7"/>
      <c r="K874" t="str">
        <f t="shared" si="39"/>
        <v/>
      </c>
      <c r="L874" t="str">
        <f t="shared" si="40"/>
        <v/>
      </c>
      <c r="M874" t="str">
        <f t="shared" si="41"/>
        <v>2026-02</v>
      </c>
    </row>
    <row r="875" spans="1:13" x14ac:dyDescent="0.25">
      <c r="A875" s="1">
        <v>46062</v>
      </c>
      <c r="B875" t="s">
        <v>25</v>
      </c>
      <c r="C875" s="2">
        <v>4000</v>
      </c>
      <c r="D875" t="s">
        <v>89</v>
      </c>
      <c r="E875" s="16" t="s">
        <v>90</v>
      </c>
      <c r="G875" s="7"/>
      <c r="I875" s="7"/>
      <c r="K875" t="str">
        <f t="shared" si="39"/>
        <v/>
      </c>
      <c r="L875" t="str">
        <f t="shared" si="40"/>
        <v/>
      </c>
      <c r="M875" t="str">
        <f t="shared" si="41"/>
        <v>2026-02</v>
      </c>
    </row>
    <row r="876" spans="1:13" x14ac:dyDescent="0.25">
      <c r="A876" s="1">
        <v>46063</v>
      </c>
      <c r="B876" t="s">
        <v>33</v>
      </c>
      <c r="C876" s="2">
        <v>10400</v>
      </c>
      <c r="D876" t="s">
        <v>89</v>
      </c>
      <c r="E876" s="16" t="s">
        <v>90</v>
      </c>
      <c r="G876" s="7"/>
      <c r="I876" s="7"/>
      <c r="K876" t="str">
        <f t="shared" si="39"/>
        <v/>
      </c>
      <c r="L876" t="str">
        <f t="shared" si="40"/>
        <v/>
      </c>
      <c r="M876" t="str">
        <f t="shared" si="41"/>
        <v>2026-02</v>
      </c>
    </row>
    <row r="877" spans="1:13" x14ac:dyDescent="0.25">
      <c r="A877" s="1">
        <v>46065</v>
      </c>
      <c r="B877" t="s">
        <v>31</v>
      </c>
      <c r="C877" s="2">
        <v>5000</v>
      </c>
      <c r="D877" t="s">
        <v>89</v>
      </c>
      <c r="E877" s="16" t="s">
        <v>90</v>
      </c>
      <c r="G877" s="7"/>
      <c r="I877" s="7"/>
      <c r="K877" t="str">
        <f t="shared" si="39"/>
        <v/>
      </c>
      <c r="L877" t="str">
        <f t="shared" si="40"/>
        <v/>
      </c>
      <c r="M877" t="str">
        <f t="shared" si="41"/>
        <v>2026-02</v>
      </c>
    </row>
    <row r="878" spans="1:13" x14ac:dyDescent="0.25">
      <c r="A878" s="1">
        <v>46065</v>
      </c>
      <c r="B878" t="s">
        <v>35</v>
      </c>
      <c r="C878" s="2">
        <v>7000</v>
      </c>
      <c r="D878" t="s">
        <v>89</v>
      </c>
      <c r="E878" s="16" t="s">
        <v>90</v>
      </c>
      <c r="G878" s="7"/>
      <c r="I878" s="7"/>
      <c r="K878" t="str">
        <f t="shared" si="39"/>
        <v/>
      </c>
      <c r="L878" t="str">
        <f t="shared" si="40"/>
        <v/>
      </c>
      <c r="M878" t="str">
        <f t="shared" si="41"/>
        <v>2026-02</v>
      </c>
    </row>
    <row r="879" spans="1:13" x14ac:dyDescent="0.25">
      <c r="A879" s="1">
        <v>46065</v>
      </c>
      <c r="B879" t="s">
        <v>24</v>
      </c>
      <c r="C879" s="2">
        <v>6000</v>
      </c>
      <c r="D879" t="s">
        <v>89</v>
      </c>
      <c r="E879" s="16" t="s">
        <v>90</v>
      </c>
      <c r="G879" s="7"/>
      <c r="I879" s="7"/>
      <c r="K879" t="str">
        <f t="shared" si="39"/>
        <v/>
      </c>
      <c r="L879" t="str">
        <f t="shared" si="40"/>
        <v/>
      </c>
      <c r="M879" t="str">
        <f t="shared" si="41"/>
        <v>2026-02</v>
      </c>
    </row>
    <row r="880" spans="1:13" x14ac:dyDescent="0.25">
      <c r="A880" s="1">
        <v>46065</v>
      </c>
      <c r="B880" t="s">
        <v>108</v>
      </c>
      <c r="C880" s="2">
        <v>5600</v>
      </c>
      <c r="D880" t="s">
        <v>89</v>
      </c>
      <c r="E880" s="16" t="s">
        <v>90</v>
      </c>
      <c r="G880" s="7"/>
      <c r="I880" s="7"/>
      <c r="K880" t="str">
        <f t="shared" si="39"/>
        <v/>
      </c>
      <c r="L880" t="str">
        <f t="shared" si="40"/>
        <v/>
      </c>
      <c r="M880" t="str">
        <f t="shared" si="41"/>
        <v>2026-02</v>
      </c>
    </row>
    <row r="881" spans="1:13" x14ac:dyDescent="0.25">
      <c r="A881" s="1">
        <v>46065</v>
      </c>
      <c r="B881" t="s">
        <v>15</v>
      </c>
      <c r="C881" s="2">
        <v>2200</v>
      </c>
      <c r="D881" t="s">
        <v>89</v>
      </c>
      <c r="E881" s="16" t="s">
        <v>90</v>
      </c>
      <c r="G881" s="7"/>
      <c r="I881" s="7"/>
      <c r="K881" t="str">
        <f t="shared" si="39"/>
        <v/>
      </c>
      <c r="L881" t="str">
        <f t="shared" si="40"/>
        <v/>
      </c>
      <c r="M881" t="str">
        <f t="shared" si="41"/>
        <v>2026-02</v>
      </c>
    </row>
    <row r="882" spans="1:13" x14ac:dyDescent="0.25">
      <c r="A882" s="1">
        <v>46065</v>
      </c>
      <c r="B882" t="s">
        <v>102</v>
      </c>
      <c r="C882" s="2">
        <v>1000</v>
      </c>
      <c r="D882" t="s">
        <v>89</v>
      </c>
      <c r="E882" s="16" t="s">
        <v>90</v>
      </c>
      <c r="G882" s="7"/>
      <c r="I882" s="7"/>
      <c r="K882" t="str">
        <f t="shared" si="39"/>
        <v/>
      </c>
      <c r="L882" t="str">
        <f t="shared" si="40"/>
        <v/>
      </c>
      <c r="M882" t="str">
        <f t="shared" si="41"/>
        <v>2026-02</v>
      </c>
    </row>
    <row r="883" spans="1:13" x14ac:dyDescent="0.25">
      <c r="A883" s="1">
        <v>46066</v>
      </c>
      <c r="B883" t="s">
        <v>102</v>
      </c>
      <c r="C883" s="2">
        <v>1000</v>
      </c>
      <c r="D883" t="s">
        <v>89</v>
      </c>
      <c r="E883" s="16" t="s">
        <v>90</v>
      </c>
      <c r="G883" s="7"/>
      <c r="I883" s="7"/>
      <c r="K883" t="str">
        <f t="shared" si="39"/>
        <v/>
      </c>
      <c r="L883" t="str">
        <f t="shared" si="40"/>
        <v/>
      </c>
      <c r="M883" t="str">
        <f t="shared" si="41"/>
        <v>2026-02</v>
      </c>
    </row>
    <row r="884" spans="1:13" x14ac:dyDescent="0.25">
      <c r="A884" s="1">
        <v>46066</v>
      </c>
      <c r="B884" t="s">
        <v>30</v>
      </c>
      <c r="C884" s="2">
        <v>8500</v>
      </c>
      <c r="D884" t="s">
        <v>89</v>
      </c>
      <c r="E884" s="16" t="s">
        <v>90</v>
      </c>
      <c r="G884" s="7"/>
      <c r="I884" s="7"/>
      <c r="K884" t="str">
        <f t="shared" si="39"/>
        <v/>
      </c>
      <c r="L884" t="str">
        <f t="shared" si="40"/>
        <v/>
      </c>
      <c r="M884" t="str">
        <f t="shared" si="41"/>
        <v>2026-02</v>
      </c>
    </row>
    <row r="885" spans="1:13" x14ac:dyDescent="0.25">
      <c r="A885" s="1">
        <v>46066</v>
      </c>
      <c r="B885" t="s">
        <v>16</v>
      </c>
      <c r="C885" s="2">
        <v>2000</v>
      </c>
      <c r="D885" t="s">
        <v>89</v>
      </c>
      <c r="E885" s="16" t="s">
        <v>90</v>
      </c>
      <c r="G885" s="7"/>
      <c r="I885" s="7"/>
      <c r="K885" t="str">
        <f t="shared" si="39"/>
        <v/>
      </c>
      <c r="L885" t="str">
        <f t="shared" si="40"/>
        <v/>
      </c>
      <c r="M885" t="str">
        <f t="shared" si="41"/>
        <v>2026-02</v>
      </c>
    </row>
    <row r="886" spans="1:13" x14ac:dyDescent="0.25">
      <c r="A886" s="1">
        <v>46067</v>
      </c>
      <c r="B886" t="s">
        <v>34</v>
      </c>
      <c r="C886" s="2">
        <v>10000</v>
      </c>
      <c r="D886" t="s">
        <v>89</v>
      </c>
      <c r="E886" s="16" t="s">
        <v>90</v>
      </c>
      <c r="G886" s="7"/>
      <c r="I886" s="7"/>
      <c r="K886" t="str">
        <f t="shared" si="39"/>
        <v/>
      </c>
      <c r="L886" t="str">
        <f t="shared" si="40"/>
        <v/>
      </c>
      <c r="M886" t="str">
        <f t="shared" si="41"/>
        <v>2026-02</v>
      </c>
    </row>
    <row r="887" spans="1:13" x14ac:dyDescent="0.25">
      <c r="A887" s="1">
        <v>46069</v>
      </c>
      <c r="B887" t="s">
        <v>32</v>
      </c>
      <c r="C887" s="2">
        <v>9000</v>
      </c>
      <c r="D887" t="s">
        <v>89</v>
      </c>
      <c r="E887" s="16" t="s">
        <v>90</v>
      </c>
      <c r="G887" s="7"/>
      <c r="I887" s="7"/>
      <c r="K887" t="str">
        <f t="shared" si="39"/>
        <v/>
      </c>
      <c r="L887" t="str">
        <f t="shared" si="40"/>
        <v/>
      </c>
      <c r="M887" t="str">
        <f t="shared" si="41"/>
        <v>2026-02</v>
      </c>
    </row>
    <row r="888" spans="1:13" x14ac:dyDescent="0.25">
      <c r="A888" s="1">
        <v>46071</v>
      </c>
      <c r="B888" t="s">
        <v>35</v>
      </c>
      <c r="C888" s="2">
        <v>10000</v>
      </c>
      <c r="D888" t="s">
        <v>89</v>
      </c>
      <c r="E888" s="16" t="s">
        <v>90</v>
      </c>
      <c r="G888" s="7"/>
      <c r="I888" s="7"/>
      <c r="K888" t="str">
        <f t="shared" si="39"/>
        <v/>
      </c>
      <c r="L888" t="str">
        <f t="shared" si="40"/>
        <v/>
      </c>
      <c r="M888" t="str">
        <f t="shared" si="41"/>
        <v>2026-02</v>
      </c>
    </row>
    <row r="889" spans="1:13" x14ac:dyDescent="0.25">
      <c r="A889" s="1">
        <v>46071</v>
      </c>
      <c r="B889" t="s">
        <v>29</v>
      </c>
      <c r="C889" s="2">
        <v>3600</v>
      </c>
      <c r="D889" t="s">
        <v>89</v>
      </c>
      <c r="E889" s="16" t="s">
        <v>90</v>
      </c>
      <c r="G889" s="7"/>
      <c r="I889" s="7"/>
      <c r="K889" t="str">
        <f t="shared" si="39"/>
        <v/>
      </c>
      <c r="L889" t="str">
        <f t="shared" si="40"/>
        <v/>
      </c>
      <c r="M889" t="str">
        <f t="shared" si="41"/>
        <v>2026-02</v>
      </c>
    </row>
    <row r="890" spans="1:13" x14ac:dyDescent="0.25">
      <c r="A890" s="1">
        <v>46071</v>
      </c>
      <c r="B890" t="s">
        <v>34</v>
      </c>
      <c r="C890" s="2">
        <v>16170</v>
      </c>
      <c r="D890" t="s">
        <v>89</v>
      </c>
      <c r="E890" s="16" t="s">
        <v>90</v>
      </c>
      <c r="G890" s="7"/>
      <c r="I890" s="7"/>
      <c r="K890" t="str">
        <f t="shared" si="39"/>
        <v/>
      </c>
      <c r="L890" t="str">
        <f t="shared" si="40"/>
        <v/>
      </c>
      <c r="M890" t="str">
        <f t="shared" si="41"/>
        <v>2026-02</v>
      </c>
    </row>
    <row r="891" spans="1:13" x14ac:dyDescent="0.25">
      <c r="A891" s="1">
        <v>46072</v>
      </c>
      <c r="B891" t="s">
        <v>27</v>
      </c>
      <c r="C891" s="2">
        <v>1050</v>
      </c>
      <c r="D891" t="s">
        <v>89</v>
      </c>
      <c r="E891" s="16" t="s">
        <v>90</v>
      </c>
      <c r="G891" s="7"/>
      <c r="I891" s="7"/>
      <c r="K891" t="str">
        <f t="shared" si="39"/>
        <v/>
      </c>
      <c r="L891" t="str">
        <f t="shared" si="40"/>
        <v/>
      </c>
      <c r="M891" t="str">
        <f t="shared" si="41"/>
        <v>2026-02</v>
      </c>
    </row>
    <row r="892" spans="1:13" x14ac:dyDescent="0.25">
      <c r="A892" s="1">
        <v>46072</v>
      </c>
      <c r="B892" t="s">
        <v>22</v>
      </c>
      <c r="C892" s="2">
        <v>1000</v>
      </c>
      <c r="D892" t="s">
        <v>89</v>
      </c>
      <c r="E892" s="16" t="s">
        <v>90</v>
      </c>
      <c r="G892" s="7"/>
      <c r="I892" s="7"/>
      <c r="K892" t="str">
        <f t="shared" si="39"/>
        <v/>
      </c>
      <c r="L892" t="str">
        <f t="shared" si="40"/>
        <v/>
      </c>
      <c r="M892" t="str">
        <f t="shared" si="41"/>
        <v>2026-02</v>
      </c>
    </row>
    <row r="893" spans="1:13" x14ac:dyDescent="0.25">
      <c r="A893" s="1">
        <v>46073</v>
      </c>
      <c r="B893" t="s">
        <v>28</v>
      </c>
      <c r="C893" s="2">
        <v>6000</v>
      </c>
      <c r="D893" t="s">
        <v>89</v>
      </c>
      <c r="E893" s="16" t="s">
        <v>90</v>
      </c>
      <c r="G893" s="7"/>
      <c r="I893" s="7"/>
      <c r="K893" t="str">
        <f t="shared" si="39"/>
        <v/>
      </c>
      <c r="L893" t="str">
        <f t="shared" si="40"/>
        <v/>
      </c>
      <c r="M893" t="str">
        <f t="shared" si="41"/>
        <v>2026-02</v>
      </c>
    </row>
    <row r="894" spans="1:13" x14ac:dyDescent="0.25">
      <c r="A894" s="1">
        <v>46073</v>
      </c>
      <c r="B894" t="s">
        <v>16</v>
      </c>
      <c r="C894" s="2">
        <v>2000</v>
      </c>
      <c r="D894" t="s">
        <v>89</v>
      </c>
      <c r="E894" s="16" t="s">
        <v>90</v>
      </c>
      <c r="G894" s="7"/>
      <c r="I894" s="7"/>
      <c r="K894" t="str">
        <f t="shared" si="39"/>
        <v/>
      </c>
      <c r="L894" t="str">
        <f t="shared" si="40"/>
        <v/>
      </c>
      <c r="M894" t="str">
        <f t="shared" si="41"/>
        <v>2026-02</v>
      </c>
    </row>
    <row r="895" spans="1:13" x14ac:dyDescent="0.25">
      <c r="A895" s="1">
        <v>46073</v>
      </c>
      <c r="B895" t="s">
        <v>107</v>
      </c>
      <c r="C895" s="2">
        <v>16500</v>
      </c>
      <c r="D895" t="s">
        <v>89</v>
      </c>
      <c r="E895" s="16" t="s">
        <v>90</v>
      </c>
      <c r="G895" s="7"/>
      <c r="I895" s="7"/>
      <c r="K895" t="str">
        <f t="shared" si="39"/>
        <v/>
      </c>
      <c r="L895" t="str">
        <f t="shared" si="40"/>
        <v/>
      </c>
      <c r="M895" t="str">
        <f t="shared" si="41"/>
        <v>2026-02</v>
      </c>
    </row>
    <row r="896" spans="1:13" x14ac:dyDescent="0.25">
      <c r="A896" s="1">
        <v>46073</v>
      </c>
      <c r="B896" t="s">
        <v>28</v>
      </c>
      <c r="C896" s="2">
        <v>6800</v>
      </c>
      <c r="D896" t="s">
        <v>89</v>
      </c>
      <c r="E896" s="16" t="s">
        <v>90</v>
      </c>
      <c r="G896" s="7"/>
      <c r="I896" s="7"/>
      <c r="K896" t="str">
        <f t="shared" si="39"/>
        <v/>
      </c>
      <c r="L896" t="str">
        <f t="shared" si="40"/>
        <v/>
      </c>
      <c r="M896" t="str">
        <f t="shared" si="41"/>
        <v>2026-02</v>
      </c>
    </row>
    <row r="897" spans="1:13" x14ac:dyDescent="0.25">
      <c r="A897" s="1">
        <v>46076</v>
      </c>
      <c r="B897" t="s">
        <v>35</v>
      </c>
      <c r="C897" s="2">
        <v>10160</v>
      </c>
      <c r="D897" t="s">
        <v>89</v>
      </c>
      <c r="E897" s="16" t="s">
        <v>90</v>
      </c>
      <c r="G897" s="7"/>
      <c r="I897" s="7"/>
      <c r="K897" t="str">
        <f t="shared" si="39"/>
        <v/>
      </c>
      <c r="L897" t="str">
        <f t="shared" si="40"/>
        <v/>
      </c>
      <c r="M897" t="str">
        <f t="shared" si="41"/>
        <v>2026-02</v>
      </c>
    </row>
    <row r="898" spans="1:13" x14ac:dyDescent="0.25">
      <c r="A898" s="1">
        <v>46076</v>
      </c>
      <c r="B898" t="s">
        <v>34</v>
      </c>
      <c r="C898" s="2">
        <v>8900</v>
      </c>
      <c r="D898" t="s">
        <v>89</v>
      </c>
      <c r="E898" s="16" t="s">
        <v>90</v>
      </c>
      <c r="G898" s="7"/>
      <c r="I898" s="7"/>
      <c r="K898" t="str">
        <f t="shared" ref="K898:K961" si="42">IF(AND(L898&lt;&gt;"",C898&gt;0),L898/C898,"")</f>
        <v/>
      </c>
      <c r="L898" t="str">
        <f t="shared" ref="L898:L961" si="43">IF(AND(D898="FINALIZADO",H898&lt;&gt;""),VALUE(LEFT(H898,FIND("h",H898)-1))*60+VALUE(MID(H898,FIND("h",H898)+2,FIND("min",H898)-FIND("h",H898)-2)),"")</f>
        <v/>
      </c>
      <c r="M898" t="str">
        <f t="shared" ref="M898:M961" si="44">TEXT(YEAR(A898),"0000")&amp;"-"&amp;TEXT(MONTH(A898),"00")</f>
        <v>2026-02</v>
      </c>
    </row>
    <row r="899" spans="1:13" x14ac:dyDescent="0.25">
      <c r="A899" s="1">
        <v>46076</v>
      </c>
      <c r="B899" t="s">
        <v>106</v>
      </c>
      <c r="C899" s="2">
        <v>2500</v>
      </c>
      <c r="D899" t="s">
        <v>89</v>
      </c>
      <c r="E899" s="16" t="s">
        <v>90</v>
      </c>
      <c r="G899" s="7"/>
      <c r="I899" s="7"/>
      <c r="K899" t="str">
        <f t="shared" si="42"/>
        <v/>
      </c>
      <c r="L899" t="str">
        <f t="shared" si="43"/>
        <v/>
      </c>
      <c r="M899" t="str">
        <f t="shared" si="44"/>
        <v>2026-02</v>
      </c>
    </row>
    <row r="900" spans="1:13" x14ac:dyDescent="0.25">
      <c r="A900" s="1">
        <v>46076</v>
      </c>
      <c r="B900" t="s">
        <v>33</v>
      </c>
      <c r="C900" s="2">
        <v>10400</v>
      </c>
      <c r="D900" t="s">
        <v>89</v>
      </c>
      <c r="E900" s="16" t="s">
        <v>90</v>
      </c>
      <c r="G900" s="7"/>
      <c r="I900" s="7"/>
      <c r="K900" t="str">
        <f t="shared" si="42"/>
        <v/>
      </c>
      <c r="L900" t="str">
        <f t="shared" si="43"/>
        <v/>
      </c>
      <c r="M900" t="str">
        <f t="shared" si="44"/>
        <v>2026-02</v>
      </c>
    </row>
    <row r="901" spans="1:13" x14ac:dyDescent="0.25">
      <c r="A901" s="1">
        <v>46077</v>
      </c>
      <c r="B901" t="s">
        <v>28</v>
      </c>
      <c r="C901" s="2">
        <v>1600</v>
      </c>
      <c r="D901" t="s">
        <v>89</v>
      </c>
      <c r="E901" s="16" t="s">
        <v>90</v>
      </c>
      <c r="G901" s="7"/>
      <c r="I901" s="7"/>
      <c r="K901" t="str">
        <f t="shared" si="42"/>
        <v/>
      </c>
      <c r="L901" t="str">
        <f t="shared" si="43"/>
        <v/>
      </c>
      <c r="M901" t="str">
        <f t="shared" si="44"/>
        <v>2026-02</v>
      </c>
    </row>
    <row r="902" spans="1:13" x14ac:dyDescent="0.25">
      <c r="A902" s="1">
        <v>46078</v>
      </c>
      <c r="B902" t="s">
        <v>34</v>
      </c>
      <c r="C902" s="2">
        <v>8500</v>
      </c>
      <c r="D902" t="s">
        <v>89</v>
      </c>
      <c r="E902" s="16" t="s">
        <v>90</v>
      </c>
      <c r="G902" s="7"/>
      <c r="I902" s="7"/>
      <c r="K902" t="str">
        <f t="shared" si="42"/>
        <v/>
      </c>
      <c r="L902" t="str">
        <f t="shared" si="43"/>
        <v/>
      </c>
      <c r="M902" t="str">
        <f t="shared" si="44"/>
        <v>2026-02</v>
      </c>
    </row>
    <row r="903" spans="1:13" x14ac:dyDescent="0.25">
      <c r="A903" s="1">
        <v>46078</v>
      </c>
      <c r="B903" t="s">
        <v>22</v>
      </c>
      <c r="C903" s="2">
        <v>2200</v>
      </c>
      <c r="D903" t="s">
        <v>89</v>
      </c>
      <c r="E903" s="16" t="s">
        <v>90</v>
      </c>
      <c r="G903" s="7"/>
      <c r="I903" s="7"/>
      <c r="K903" t="str">
        <f t="shared" si="42"/>
        <v/>
      </c>
      <c r="L903" t="str">
        <f t="shared" si="43"/>
        <v/>
      </c>
      <c r="M903" t="str">
        <f t="shared" si="44"/>
        <v>2026-02</v>
      </c>
    </row>
    <row r="904" spans="1:13" x14ac:dyDescent="0.25">
      <c r="A904" s="1">
        <v>46078</v>
      </c>
      <c r="B904" t="s">
        <v>24</v>
      </c>
      <c r="C904" s="2">
        <v>500</v>
      </c>
      <c r="D904" t="s">
        <v>89</v>
      </c>
      <c r="E904" s="16" t="s">
        <v>90</v>
      </c>
      <c r="G904" s="7"/>
      <c r="I904" s="7"/>
      <c r="K904" t="str">
        <f t="shared" si="42"/>
        <v/>
      </c>
      <c r="L904" t="str">
        <f t="shared" si="43"/>
        <v/>
      </c>
      <c r="M904" t="str">
        <f t="shared" si="44"/>
        <v>2026-02</v>
      </c>
    </row>
    <row r="905" spans="1:13" x14ac:dyDescent="0.25">
      <c r="A905" s="1">
        <v>46078</v>
      </c>
      <c r="B905" t="s">
        <v>100</v>
      </c>
      <c r="C905" s="2">
        <v>1000</v>
      </c>
      <c r="D905" t="s">
        <v>89</v>
      </c>
      <c r="E905" s="16" t="s">
        <v>90</v>
      </c>
      <c r="G905" s="7"/>
      <c r="I905" s="7"/>
      <c r="K905" t="str">
        <f t="shared" si="42"/>
        <v/>
      </c>
      <c r="L905" t="str">
        <f t="shared" si="43"/>
        <v/>
      </c>
      <c r="M905" t="str">
        <f t="shared" si="44"/>
        <v>2026-02</v>
      </c>
    </row>
    <row r="906" spans="1:13" x14ac:dyDescent="0.25">
      <c r="A906" s="1">
        <v>46078</v>
      </c>
      <c r="B906" t="s">
        <v>14</v>
      </c>
      <c r="C906" s="2">
        <v>650</v>
      </c>
      <c r="D906" t="s">
        <v>89</v>
      </c>
      <c r="E906" s="16" t="s">
        <v>90</v>
      </c>
      <c r="G906" s="7"/>
      <c r="I906" s="7"/>
      <c r="K906" t="str">
        <f t="shared" si="42"/>
        <v/>
      </c>
      <c r="L906" t="str">
        <f t="shared" si="43"/>
        <v/>
      </c>
      <c r="M906" t="str">
        <f t="shared" si="44"/>
        <v>2026-02</v>
      </c>
    </row>
    <row r="907" spans="1:13" x14ac:dyDescent="0.25">
      <c r="A907" s="1">
        <v>46078</v>
      </c>
      <c r="B907" t="s">
        <v>32</v>
      </c>
      <c r="C907" s="2">
        <v>6600</v>
      </c>
      <c r="D907" t="s">
        <v>89</v>
      </c>
      <c r="E907" s="16" t="s">
        <v>90</v>
      </c>
      <c r="G907" s="7"/>
      <c r="I907" s="7"/>
      <c r="K907" t="str">
        <f t="shared" si="42"/>
        <v/>
      </c>
      <c r="L907" t="str">
        <f t="shared" si="43"/>
        <v/>
      </c>
      <c r="M907" t="str">
        <f t="shared" si="44"/>
        <v>2026-02</v>
      </c>
    </row>
    <row r="908" spans="1:13" x14ac:dyDescent="0.25">
      <c r="A908" s="1">
        <v>46078</v>
      </c>
      <c r="B908" t="s">
        <v>35</v>
      </c>
      <c r="C908" s="2">
        <v>10000</v>
      </c>
      <c r="D908" t="s">
        <v>89</v>
      </c>
      <c r="E908" s="16" t="s">
        <v>90</v>
      </c>
      <c r="G908" s="7"/>
      <c r="I908" s="7"/>
      <c r="K908" t="str">
        <f t="shared" si="42"/>
        <v/>
      </c>
      <c r="L908" t="str">
        <f t="shared" si="43"/>
        <v/>
      </c>
      <c r="M908" t="str">
        <f t="shared" si="44"/>
        <v>2026-02</v>
      </c>
    </row>
    <row r="909" spans="1:13" x14ac:dyDescent="0.25">
      <c r="A909" s="1">
        <v>46079</v>
      </c>
      <c r="B909" t="s">
        <v>32</v>
      </c>
      <c r="C909" s="2">
        <v>1000</v>
      </c>
      <c r="D909" t="s">
        <v>89</v>
      </c>
      <c r="E909" s="16" t="s">
        <v>90</v>
      </c>
      <c r="G909" s="7"/>
      <c r="I909" s="7"/>
      <c r="K909" t="str">
        <f t="shared" si="42"/>
        <v/>
      </c>
      <c r="L909" t="str">
        <f t="shared" si="43"/>
        <v/>
      </c>
      <c r="M909" t="str">
        <f t="shared" si="44"/>
        <v>2026-02</v>
      </c>
    </row>
    <row r="910" spans="1:13" x14ac:dyDescent="0.25">
      <c r="A910" s="1">
        <v>46080</v>
      </c>
      <c r="B910" t="s">
        <v>106</v>
      </c>
      <c r="C910" s="2">
        <v>2500</v>
      </c>
      <c r="D910" t="s">
        <v>89</v>
      </c>
      <c r="E910" s="16" t="s">
        <v>90</v>
      </c>
      <c r="G910" s="7"/>
      <c r="I910" s="7"/>
      <c r="K910" t="str">
        <f t="shared" si="42"/>
        <v/>
      </c>
      <c r="L910" t="str">
        <f t="shared" si="43"/>
        <v/>
      </c>
      <c r="M910" t="str">
        <f t="shared" si="44"/>
        <v>2026-02</v>
      </c>
    </row>
    <row r="911" spans="1:13" x14ac:dyDescent="0.25">
      <c r="A911" s="1">
        <v>46080</v>
      </c>
      <c r="B911" t="s">
        <v>28</v>
      </c>
      <c r="C911" s="2">
        <v>6000</v>
      </c>
      <c r="D911" t="s">
        <v>89</v>
      </c>
      <c r="E911" s="16" t="s">
        <v>90</v>
      </c>
      <c r="G911" s="7"/>
      <c r="I911" s="7"/>
      <c r="K911" t="str">
        <f t="shared" si="42"/>
        <v/>
      </c>
      <c r="L911" t="str">
        <f t="shared" si="43"/>
        <v/>
      </c>
      <c r="M911" t="str">
        <f t="shared" si="44"/>
        <v>2026-02</v>
      </c>
    </row>
    <row r="912" spans="1:13" x14ac:dyDescent="0.25">
      <c r="A912" s="1">
        <v>46083</v>
      </c>
      <c r="B912" t="s">
        <v>33</v>
      </c>
      <c r="C912" s="2">
        <v>10400</v>
      </c>
      <c r="D912" t="s">
        <v>89</v>
      </c>
      <c r="E912" s="16" t="s">
        <v>90</v>
      </c>
      <c r="G912" s="7"/>
      <c r="I912" s="7"/>
      <c r="K912" t="str">
        <f t="shared" si="42"/>
        <v/>
      </c>
      <c r="L912" t="str">
        <f t="shared" si="43"/>
        <v/>
      </c>
      <c r="M912" t="str">
        <f t="shared" si="44"/>
        <v>2026-03</v>
      </c>
    </row>
    <row r="913" spans="1:13" x14ac:dyDescent="0.25">
      <c r="A913" s="1">
        <v>46083</v>
      </c>
      <c r="B913" t="s">
        <v>35</v>
      </c>
      <c r="C913" s="2">
        <v>8000</v>
      </c>
      <c r="D913" t="s">
        <v>89</v>
      </c>
      <c r="E913" s="16" t="s">
        <v>90</v>
      </c>
      <c r="G913" s="7"/>
      <c r="I913" s="7"/>
      <c r="K913" t="str">
        <f t="shared" si="42"/>
        <v/>
      </c>
      <c r="L913" t="str">
        <f t="shared" si="43"/>
        <v/>
      </c>
      <c r="M913" t="str">
        <f t="shared" si="44"/>
        <v>2026-03</v>
      </c>
    </row>
    <row r="914" spans="1:13" x14ac:dyDescent="0.25">
      <c r="A914" s="1">
        <v>46083</v>
      </c>
      <c r="B914" t="s">
        <v>27</v>
      </c>
      <c r="C914" s="2">
        <v>1050</v>
      </c>
      <c r="D914" t="s">
        <v>89</v>
      </c>
      <c r="E914" s="16" t="s">
        <v>90</v>
      </c>
      <c r="G914" s="7"/>
      <c r="I914" s="7"/>
      <c r="K914" t="str">
        <f t="shared" si="42"/>
        <v/>
      </c>
      <c r="L914" t="str">
        <f t="shared" si="43"/>
        <v/>
      </c>
      <c r="M914" t="str">
        <f t="shared" si="44"/>
        <v>2026-03</v>
      </c>
    </row>
    <row r="915" spans="1:13" x14ac:dyDescent="0.25">
      <c r="A915" s="1">
        <v>46083</v>
      </c>
      <c r="B915" t="s">
        <v>27</v>
      </c>
      <c r="C915" s="2">
        <v>1050</v>
      </c>
      <c r="D915" t="s">
        <v>89</v>
      </c>
      <c r="E915" s="16" t="s">
        <v>90</v>
      </c>
      <c r="G915" s="7"/>
      <c r="I915" s="7"/>
      <c r="K915" t="str">
        <f t="shared" si="42"/>
        <v/>
      </c>
      <c r="L915" t="str">
        <f t="shared" si="43"/>
        <v/>
      </c>
      <c r="M915" t="str">
        <f t="shared" si="44"/>
        <v>2026-03</v>
      </c>
    </row>
    <row r="916" spans="1:13" x14ac:dyDescent="0.25">
      <c r="A916" s="1">
        <v>46084</v>
      </c>
      <c r="B916" t="s">
        <v>25</v>
      </c>
      <c r="C916" s="2">
        <v>3000</v>
      </c>
      <c r="D916" t="s">
        <v>89</v>
      </c>
      <c r="E916" s="16" t="s">
        <v>90</v>
      </c>
      <c r="G916" s="7"/>
      <c r="I916" s="7"/>
      <c r="K916" t="str">
        <f t="shared" si="42"/>
        <v/>
      </c>
      <c r="L916" t="str">
        <f t="shared" si="43"/>
        <v/>
      </c>
      <c r="M916" t="str">
        <f t="shared" si="44"/>
        <v>2026-03</v>
      </c>
    </row>
    <row r="917" spans="1:13" x14ac:dyDescent="0.25">
      <c r="A917" s="1">
        <v>46084</v>
      </c>
      <c r="B917" t="s">
        <v>109</v>
      </c>
      <c r="C917" s="2">
        <v>1340</v>
      </c>
      <c r="D917" t="s">
        <v>89</v>
      </c>
      <c r="E917" s="16" t="s">
        <v>90</v>
      </c>
      <c r="G917" s="7"/>
      <c r="I917" s="7"/>
      <c r="K917" t="str">
        <f t="shared" si="42"/>
        <v/>
      </c>
      <c r="L917" t="str">
        <f t="shared" si="43"/>
        <v/>
      </c>
      <c r="M917" t="str">
        <f t="shared" si="44"/>
        <v>2026-03</v>
      </c>
    </row>
    <row r="918" spans="1:13" x14ac:dyDescent="0.25">
      <c r="A918" s="1">
        <v>46085</v>
      </c>
      <c r="B918" t="s">
        <v>16</v>
      </c>
      <c r="C918" s="2">
        <v>1100</v>
      </c>
      <c r="D918" t="s">
        <v>89</v>
      </c>
      <c r="E918" s="16" t="s">
        <v>90</v>
      </c>
      <c r="G918" s="7"/>
      <c r="I918" s="7"/>
      <c r="K918" t="str">
        <f t="shared" si="42"/>
        <v/>
      </c>
      <c r="L918" t="str">
        <f t="shared" si="43"/>
        <v/>
      </c>
      <c r="M918" t="str">
        <f t="shared" si="44"/>
        <v>2026-03</v>
      </c>
    </row>
    <row r="919" spans="1:13" x14ac:dyDescent="0.25">
      <c r="A919" s="1">
        <v>46085</v>
      </c>
      <c r="B919" t="s">
        <v>22</v>
      </c>
      <c r="C919" s="2">
        <v>1000</v>
      </c>
      <c r="D919" t="s">
        <v>89</v>
      </c>
      <c r="E919" s="16" t="s">
        <v>90</v>
      </c>
      <c r="G919" s="7"/>
      <c r="I919" s="7"/>
      <c r="K919" t="str">
        <f t="shared" si="42"/>
        <v/>
      </c>
      <c r="L919" t="str">
        <f t="shared" si="43"/>
        <v/>
      </c>
      <c r="M919" t="str">
        <f t="shared" si="44"/>
        <v>2026-03</v>
      </c>
    </row>
    <row r="920" spans="1:13" x14ac:dyDescent="0.25">
      <c r="A920" s="1">
        <v>46085</v>
      </c>
      <c r="B920" t="s">
        <v>32</v>
      </c>
      <c r="C920" s="2">
        <v>5000</v>
      </c>
      <c r="D920" t="s">
        <v>89</v>
      </c>
      <c r="E920" s="16" t="s">
        <v>90</v>
      </c>
      <c r="G920" s="7"/>
      <c r="I920" s="7"/>
      <c r="K920" t="str">
        <f t="shared" si="42"/>
        <v/>
      </c>
      <c r="L920" t="str">
        <f t="shared" si="43"/>
        <v/>
      </c>
      <c r="M920" t="str">
        <f t="shared" si="44"/>
        <v>2026-03</v>
      </c>
    </row>
    <row r="921" spans="1:13" x14ac:dyDescent="0.25">
      <c r="A921" s="1">
        <v>46085</v>
      </c>
      <c r="B921" t="s">
        <v>30</v>
      </c>
      <c r="C921" s="2">
        <v>8500</v>
      </c>
      <c r="D921" t="s">
        <v>89</v>
      </c>
      <c r="E921" s="16" t="s">
        <v>90</v>
      </c>
      <c r="G921" s="7"/>
      <c r="I921" s="7"/>
      <c r="K921" t="str">
        <f t="shared" si="42"/>
        <v/>
      </c>
      <c r="L921" t="str">
        <f t="shared" si="43"/>
        <v/>
      </c>
      <c r="M921" t="str">
        <f t="shared" si="44"/>
        <v>2026-03</v>
      </c>
    </row>
    <row r="922" spans="1:13" x14ac:dyDescent="0.25">
      <c r="A922" s="1">
        <v>46085</v>
      </c>
      <c r="B922" t="s">
        <v>31</v>
      </c>
      <c r="C922" s="2">
        <v>10000</v>
      </c>
      <c r="D922" t="s">
        <v>89</v>
      </c>
      <c r="E922" s="16" t="s">
        <v>90</v>
      </c>
      <c r="G922" s="7"/>
      <c r="I922" s="7"/>
      <c r="K922" t="str">
        <f t="shared" si="42"/>
        <v/>
      </c>
      <c r="L922" t="str">
        <f t="shared" si="43"/>
        <v/>
      </c>
      <c r="M922" t="str">
        <f t="shared" si="44"/>
        <v>2026-03</v>
      </c>
    </row>
    <row r="923" spans="1:13" x14ac:dyDescent="0.25">
      <c r="A923" s="1">
        <v>46086</v>
      </c>
      <c r="B923" t="s">
        <v>29</v>
      </c>
      <c r="C923" s="2">
        <v>3600</v>
      </c>
      <c r="D923" t="s">
        <v>89</v>
      </c>
      <c r="E923" s="16" t="s">
        <v>90</v>
      </c>
      <c r="G923" s="7"/>
      <c r="I923" s="7"/>
      <c r="K923" t="str">
        <f t="shared" si="42"/>
        <v/>
      </c>
      <c r="L923" t="str">
        <f t="shared" si="43"/>
        <v/>
      </c>
      <c r="M923" t="str">
        <f t="shared" si="44"/>
        <v>2026-03</v>
      </c>
    </row>
    <row r="924" spans="1:13" x14ac:dyDescent="0.25">
      <c r="A924" s="1">
        <v>46086</v>
      </c>
      <c r="B924" t="s">
        <v>15</v>
      </c>
      <c r="C924" s="2">
        <v>2200</v>
      </c>
      <c r="D924" t="s">
        <v>89</v>
      </c>
      <c r="E924" s="16" t="s">
        <v>90</v>
      </c>
      <c r="G924" s="7"/>
      <c r="I924" s="7"/>
      <c r="K924" t="str">
        <f t="shared" si="42"/>
        <v/>
      </c>
      <c r="L924" t="str">
        <f t="shared" si="43"/>
        <v/>
      </c>
      <c r="M924" t="str">
        <f t="shared" si="44"/>
        <v>2026-03</v>
      </c>
    </row>
    <row r="925" spans="1:13" x14ac:dyDescent="0.25">
      <c r="A925" s="1">
        <v>46086</v>
      </c>
      <c r="B925" t="s">
        <v>27</v>
      </c>
      <c r="C925" s="2">
        <v>1050</v>
      </c>
      <c r="D925" t="s">
        <v>89</v>
      </c>
      <c r="E925" s="16" t="s">
        <v>90</v>
      </c>
      <c r="G925" s="7"/>
      <c r="I925" s="7"/>
      <c r="K925" t="str">
        <f t="shared" si="42"/>
        <v/>
      </c>
      <c r="L925" t="str">
        <f t="shared" si="43"/>
        <v/>
      </c>
      <c r="M925" t="str">
        <f t="shared" si="44"/>
        <v>2026-03</v>
      </c>
    </row>
    <row r="926" spans="1:13" x14ac:dyDescent="0.25">
      <c r="A926" s="1">
        <v>46087</v>
      </c>
      <c r="B926" t="s">
        <v>27</v>
      </c>
      <c r="C926" s="2">
        <v>1050</v>
      </c>
      <c r="D926" t="s">
        <v>89</v>
      </c>
      <c r="E926" s="16" t="s">
        <v>90</v>
      </c>
      <c r="G926" s="7"/>
      <c r="I926" s="7"/>
      <c r="K926" t="str">
        <f t="shared" si="42"/>
        <v/>
      </c>
      <c r="L926" t="str">
        <f t="shared" si="43"/>
        <v/>
      </c>
      <c r="M926" t="str">
        <f t="shared" si="44"/>
        <v>2026-03</v>
      </c>
    </row>
    <row r="927" spans="1:13" x14ac:dyDescent="0.25">
      <c r="A927" s="1">
        <v>46087</v>
      </c>
      <c r="B927" t="s">
        <v>29</v>
      </c>
      <c r="C927" s="2">
        <v>3600</v>
      </c>
      <c r="D927" t="s">
        <v>89</v>
      </c>
      <c r="E927" s="16" t="s">
        <v>90</v>
      </c>
      <c r="G927" s="7"/>
      <c r="I927" s="7"/>
      <c r="K927" t="str">
        <f t="shared" si="42"/>
        <v/>
      </c>
      <c r="L927" t="str">
        <f t="shared" si="43"/>
        <v/>
      </c>
      <c r="M927" t="str">
        <f t="shared" si="44"/>
        <v>2026-03</v>
      </c>
    </row>
    <row r="928" spans="1:13" x14ac:dyDescent="0.25">
      <c r="A928" s="1">
        <v>46087</v>
      </c>
      <c r="B928" t="s">
        <v>35</v>
      </c>
      <c r="C928" s="2">
        <v>10000</v>
      </c>
      <c r="D928" t="s">
        <v>89</v>
      </c>
      <c r="E928" s="16" t="s">
        <v>90</v>
      </c>
      <c r="G928" s="7"/>
      <c r="I928" s="7"/>
      <c r="K928" t="str">
        <f t="shared" si="42"/>
        <v/>
      </c>
      <c r="L928" t="str">
        <f t="shared" si="43"/>
        <v/>
      </c>
      <c r="M928" t="str">
        <f t="shared" si="44"/>
        <v>2026-03</v>
      </c>
    </row>
    <row r="929" spans="1:13" x14ac:dyDescent="0.25">
      <c r="A929" s="1">
        <v>46087</v>
      </c>
      <c r="B929" t="s">
        <v>3</v>
      </c>
      <c r="C929" s="2">
        <v>1000</v>
      </c>
      <c r="D929" t="s">
        <v>89</v>
      </c>
      <c r="E929" s="16" t="s">
        <v>90</v>
      </c>
      <c r="G929" s="7"/>
      <c r="I929" s="7"/>
      <c r="K929" t="str">
        <f t="shared" si="42"/>
        <v/>
      </c>
      <c r="L929" t="str">
        <f t="shared" si="43"/>
        <v/>
      </c>
      <c r="M929" t="str">
        <f t="shared" si="44"/>
        <v>2026-03</v>
      </c>
    </row>
    <row r="930" spans="1:13" x14ac:dyDescent="0.25">
      <c r="A930" s="1">
        <v>46087</v>
      </c>
      <c r="B930" t="s">
        <v>35</v>
      </c>
      <c r="C930" s="2">
        <v>10000</v>
      </c>
      <c r="D930" t="s">
        <v>89</v>
      </c>
      <c r="E930" s="16" t="s">
        <v>90</v>
      </c>
      <c r="G930" s="7"/>
      <c r="I930" s="7"/>
      <c r="K930" t="str">
        <f t="shared" si="42"/>
        <v/>
      </c>
      <c r="L930" t="str">
        <f t="shared" si="43"/>
        <v/>
      </c>
      <c r="M930" t="str">
        <f t="shared" si="44"/>
        <v>2026-03</v>
      </c>
    </row>
    <row r="931" spans="1:13" x14ac:dyDescent="0.25">
      <c r="A931" s="1">
        <v>46087</v>
      </c>
      <c r="B931" t="s">
        <v>34</v>
      </c>
      <c r="C931" s="2">
        <v>6680</v>
      </c>
      <c r="D931" t="s">
        <v>89</v>
      </c>
      <c r="E931" s="16" t="s">
        <v>90</v>
      </c>
      <c r="G931" s="7"/>
      <c r="I931" s="7"/>
      <c r="K931" t="str">
        <f t="shared" si="42"/>
        <v/>
      </c>
      <c r="L931" t="str">
        <f t="shared" si="43"/>
        <v/>
      </c>
      <c r="M931" t="str">
        <f t="shared" si="44"/>
        <v>2026-03</v>
      </c>
    </row>
    <row r="932" spans="1:13" x14ac:dyDescent="0.25">
      <c r="A932" s="1">
        <v>46087</v>
      </c>
      <c r="B932" t="s">
        <v>33</v>
      </c>
      <c r="C932" s="2">
        <v>10400</v>
      </c>
      <c r="D932" t="s">
        <v>89</v>
      </c>
      <c r="E932" s="16" t="s">
        <v>90</v>
      </c>
      <c r="G932" s="7"/>
      <c r="I932" s="7"/>
      <c r="K932" t="str">
        <f t="shared" si="42"/>
        <v/>
      </c>
      <c r="L932" t="str">
        <f t="shared" si="43"/>
        <v/>
      </c>
      <c r="M932" t="str">
        <f t="shared" si="44"/>
        <v>2026-03</v>
      </c>
    </row>
    <row r="933" spans="1:13" x14ac:dyDescent="0.25">
      <c r="A933" s="1">
        <v>46090</v>
      </c>
      <c r="B933" t="s">
        <v>101</v>
      </c>
      <c r="C933" s="2">
        <v>1000</v>
      </c>
      <c r="D933" t="s">
        <v>89</v>
      </c>
      <c r="E933" s="16" t="s">
        <v>90</v>
      </c>
      <c r="G933" s="7"/>
      <c r="I933" s="7"/>
      <c r="K933" t="str">
        <f t="shared" si="42"/>
        <v/>
      </c>
      <c r="L933" t="str">
        <f t="shared" si="43"/>
        <v/>
      </c>
      <c r="M933" t="str">
        <f t="shared" si="44"/>
        <v>2026-03</v>
      </c>
    </row>
    <row r="934" spans="1:13" x14ac:dyDescent="0.25">
      <c r="A934" s="1">
        <v>46090</v>
      </c>
      <c r="B934" t="s">
        <v>27</v>
      </c>
      <c r="C934" s="2">
        <v>1050</v>
      </c>
      <c r="D934" t="s">
        <v>89</v>
      </c>
      <c r="E934" s="16" t="s">
        <v>90</v>
      </c>
      <c r="G934" s="7"/>
      <c r="I934" s="7"/>
      <c r="K934" t="str">
        <f t="shared" si="42"/>
        <v/>
      </c>
      <c r="L934" t="str">
        <f t="shared" si="43"/>
        <v/>
      </c>
      <c r="M934" t="str">
        <f t="shared" si="44"/>
        <v>2026-03</v>
      </c>
    </row>
    <row r="935" spans="1:13" x14ac:dyDescent="0.25">
      <c r="A935" s="1">
        <v>46090</v>
      </c>
      <c r="B935" t="s">
        <v>28</v>
      </c>
      <c r="C935" s="2">
        <v>6000</v>
      </c>
      <c r="D935" t="s">
        <v>89</v>
      </c>
      <c r="E935" s="16" t="s">
        <v>90</v>
      </c>
      <c r="G935" s="7"/>
      <c r="I935" s="7"/>
      <c r="K935" t="str">
        <f t="shared" si="42"/>
        <v/>
      </c>
      <c r="L935" t="str">
        <f t="shared" si="43"/>
        <v/>
      </c>
      <c r="M935" t="str">
        <f t="shared" si="44"/>
        <v>2026-03</v>
      </c>
    </row>
    <row r="936" spans="1:13" x14ac:dyDescent="0.25">
      <c r="A936" s="1">
        <v>46090</v>
      </c>
      <c r="B936" t="s">
        <v>29</v>
      </c>
      <c r="C936" s="2">
        <v>900</v>
      </c>
      <c r="D936" t="s">
        <v>89</v>
      </c>
      <c r="E936" s="16" t="s">
        <v>90</v>
      </c>
      <c r="G936" s="7"/>
      <c r="I936" s="7"/>
      <c r="K936" t="str">
        <f t="shared" si="42"/>
        <v/>
      </c>
      <c r="L936" t="str">
        <f t="shared" si="43"/>
        <v/>
      </c>
      <c r="M936" t="str">
        <f t="shared" si="44"/>
        <v>2026-03</v>
      </c>
    </row>
    <row r="937" spans="1:13" x14ac:dyDescent="0.25">
      <c r="A937" s="1">
        <v>46091</v>
      </c>
      <c r="B937" t="s">
        <v>28</v>
      </c>
      <c r="C937" s="2">
        <v>4500</v>
      </c>
      <c r="D937" t="s">
        <v>89</v>
      </c>
      <c r="E937" s="16" t="s">
        <v>90</v>
      </c>
      <c r="G937" s="7"/>
      <c r="I937" s="7"/>
      <c r="K937" t="str">
        <f t="shared" si="42"/>
        <v/>
      </c>
      <c r="L937" t="str">
        <f t="shared" si="43"/>
        <v/>
      </c>
      <c r="M937" t="str">
        <f t="shared" si="44"/>
        <v>2026-03</v>
      </c>
    </row>
    <row r="938" spans="1:13" x14ac:dyDescent="0.25">
      <c r="A938" s="1">
        <v>46091</v>
      </c>
      <c r="B938" t="s">
        <v>29</v>
      </c>
      <c r="C938" s="2">
        <v>900</v>
      </c>
      <c r="D938" t="s">
        <v>89</v>
      </c>
      <c r="E938" s="16" t="s">
        <v>90</v>
      </c>
      <c r="G938" s="7"/>
      <c r="I938" s="7"/>
      <c r="K938" t="str">
        <f t="shared" si="42"/>
        <v/>
      </c>
      <c r="L938" t="str">
        <f t="shared" si="43"/>
        <v/>
      </c>
      <c r="M938" t="str">
        <f t="shared" si="44"/>
        <v>2026-03</v>
      </c>
    </row>
    <row r="939" spans="1:13" x14ac:dyDescent="0.25">
      <c r="A939" s="1">
        <v>46091</v>
      </c>
      <c r="B939" t="s">
        <v>111</v>
      </c>
      <c r="C939" s="2">
        <v>18750</v>
      </c>
      <c r="D939" t="s">
        <v>89</v>
      </c>
      <c r="E939" s="16" t="s">
        <v>90</v>
      </c>
      <c r="G939" s="7"/>
      <c r="I939" s="7"/>
      <c r="K939" t="str">
        <f t="shared" si="42"/>
        <v/>
      </c>
      <c r="L939" t="str">
        <f t="shared" si="43"/>
        <v/>
      </c>
      <c r="M939" t="str">
        <f t="shared" si="44"/>
        <v>2026-03</v>
      </c>
    </row>
    <row r="940" spans="1:13" x14ac:dyDescent="0.25">
      <c r="A940" s="1">
        <v>46091</v>
      </c>
      <c r="B940" t="s">
        <v>27</v>
      </c>
      <c r="C940" s="2">
        <v>2100</v>
      </c>
      <c r="D940" t="s">
        <v>89</v>
      </c>
      <c r="E940" s="16" t="s">
        <v>90</v>
      </c>
      <c r="G940" s="7"/>
      <c r="I940" s="7"/>
      <c r="K940" t="str">
        <f t="shared" si="42"/>
        <v/>
      </c>
      <c r="L940" t="str">
        <f t="shared" si="43"/>
        <v/>
      </c>
      <c r="M940" t="str">
        <f t="shared" si="44"/>
        <v>2026-03</v>
      </c>
    </row>
    <row r="941" spans="1:13" x14ac:dyDescent="0.25">
      <c r="A941" s="1">
        <v>46091</v>
      </c>
      <c r="B941" t="s">
        <v>31</v>
      </c>
      <c r="C941" s="2">
        <v>7500</v>
      </c>
      <c r="D941" t="s">
        <v>89</v>
      </c>
      <c r="E941" s="16" t="s">
        <v>90</v>
      </c>
      <c r="G941" s="7"/>
      <c r="I941" s="7"/>
      <c r="K941" t="str">
        <f t="shared" si="42"/>
        <v/>
      </c>
      <c r="L941" t="str">
        <f t="shared" si="43"/>
        <v/>
      </c>
      <c r="M941" t="str">
        <f t="shared" si="44"/>
        <v>2026-03</v>
      </c>
    </row>
    <row r="942" spans="1:13" x14ac:dyDescent="0.25">
      <c r="A942" s="1">
        <v>46091</v>
      </c>
      <c r="B942" t="s">
        <v>35</v>
      </c>
      <c r="C942" s="2">
        <v>10000</v>
      </c>
      <c r="D942" t="s">
        <v>89</v>
      </c>
      <c r="E942" s="16" t="s">
        <v>90</v>
      </c>
      <c r="G942" s="7"/>
      <c r="I942" s="7"/>
      <c r="K942" t="str">
        <f t="shared" si="42"/>
        <v/>
      </c>
      <c r="L942" t="str">
        <f t="shared" si="43"/>
        <v/>
      </c>
      <c r="M942" t="str">
        <f t="shared" si="44"/>
        <v>2026-03</v>
      </c>
    </row>
    <row r="943" spans="1:13" x14ac:dyDescent="0.25">
      <c r="A943" s="1">
        <v>46091</v>
      </c>
      <c r="B943" t="s">
        <v>34</v>
      </c>
      <c r="C943" s="2">
        <v>12130</v>
      </c>
      <c r="D943" t="s">
        <v>89</v>
      </c>
      <c r="E943" s="16" t="s">
        <v>90</v>
      </c>
      <c r="G943" s="7"/>
      <c r="I943" s="7"/>
      <c r="K943" t="str">
        <f t="shared" si="42"/>
        <v/>
      </c>
      <c r="L943" t="str">
        <f t="shared" si="43"/>
        <v/>
      </c>
      <c r="M943" t="str">
        <f t="shared" si="44"/>
        <v>2026-03</v>
      </c>
    </row>
    <row r="944" spans="1:13" x14ac:dyDescent="0.25">
      <c r="A944" s="1">
        <v>46092</v>
      </c>
      <c r="B944" t="s">
        <v>33</v>
      </c>
      <c r="C944" s="2">
        <v>10400</v>
      </c>
      <c r="D944" t="s">
        <v>89</v>
      </c>
      <c r="E944" s="16" t="s">
        <v>90</v>
      </c>
      <c r="G944" s="7"/>
      <c r="I944" s="7"/>
      <c r="K944" t="str">
        <f t="shared" si="42"/>
        <v/>
      </c>
      <c r="L944" t="str">
        <f t="shared" si="43"/>
        <v/>
      </c>
      <c r="M944" t="str">
        <f t="shared" si="44"/>
        <v>2026-03</v>
      </c>
    </row>
    <row r="945" spans="1:13" x14ac:dyDescent="0.25">
      <c r="A945" s="1">
        <v>46092</v>
      </c>
      <c r="B945" t="s">
        <v>100</v>
      </c>
      <c r="C945" s="2">
        <v>1000</v>
      </c>
      <c r="D945" t="s">
        <v>89</v>
      </c>
      <c r="E945" s="16" t="s">
        <v>90</v>
      </c>
      <c r="G945" s="7"/>
      <c r="I945" s="7"/>
      <c r="K945" t="str">
        <f t="shared" si="42"/>
        <v/>
      </c>
      <c r="L945" t="str">
        <f t="shared" si="43"/>
        <v/>
      </c>
      <c r="M945" t="str">
        <f t="shared" si="44"/>
        <v>2026-03</v>
      </c>
    </row>
    <row r="946" spans="1:13" x14ac:dyDescent="0.25">
      <c r="A946" s="1">
        <v>46092</v>
      </c>
      <c r="B946" t="s">
        <v>23</v>
      </c>
      <c r="C946" s="2">
        <v>6250</v>
      </c>
      <c r="D946" t="s">
        <v>89</v>
      </c>
      <c r="E946" s="16" t="s">
        <v>90</v>
      </c>
      <c r="G946" s="7"/>
      <c r="I946" s="7"/>
      <c r="K946" t="str">
        <f t="shared" si="42"/>
        <v/>
      </c>
      <c r="L946" t="str">
        <f t="shared" si="43"/>
        <v/>
      </c>
      <c r="M946" t="str">
        <f t="shared" si="44"/>
        <v>2026-03</v>
      </c>
    </row>
    <row r="947" spans="1:13" x14ac:dyDescent="0.25">
      <c r="A947" s="1">
        <v>46093</v>
      </c>
      <c r="B947" t="s">
        <v>34</v>
      </c>
      <c r="C947" s="2">
        <v>16800</v>
      </c>
      <c r="D947" t="s">
        <v>89</v>
      </c>
      <c r="E947" s="16" t="s">
        <v>90</v>
      </c>
      <c r="G947" s="7"/>
      <c r="I947" s="7"/>
      <c r="K947" t="str">
        <f t="shared" si="42"/>
        <v/>
      </c>
      <c r="L947" t="str">
        <f t="shared" si="43"/>
        <v/>
      </c>
      <c r="M947" t="str">
        <f t="shared" si="44"/>
        <v>2026-03</v>
      </c>
    </row>
    <row r="948" spans="1:13" x14ac:dyDescent="0.25">
      <c r="A948" s="1">
        <v>46093</v>
      </c>
      <c r="B948" t="s">
        <v>35</v>
      </c>
      <c r="C948" s="2">
        <v>10000</v>
      </c>
      <c r="D948" t="s">
        <v>89</v>
      </c>
      <c r="E948" s="16" t="s">
        <v>90</v>
      </c>
      <c r="G948" s="7"/>
      <c r="I948" s="7"/>
      <c r="K948" t="str">
        <f t="shared" si="42"/>
        <v/>
      </c>
      <c r="L948" t="str">
        <f t="shared" si="43"/>
        <v/>
      </c>
      <c r="M948" t="str">
        <f t="shared" si="44"/>
        <v>2026-03</v>
      </c>
    </row>
    <row r="949" spans="1:13" x14ac:dyDescent="0.25">
      <c r="A949" s="1">
        <v>46094</v>
      </c>
      <c r="B949" t="s">
        <v>32</v>
      </c>
      <c r="C949" s="2">
        <v>10000</v>
      </c>
      <c r="D949" t="s">
        <v>89</v>
      </c>
      <c r="E949" s="16" t="s">
        <v>90</v>
      </c>
      <c r="G949" s="7"/>
      <c r="I949" s="7"/>
      <c r="K949" t="str">
        <f t="shared" si="42"/>
        <v/>
      </c>
      <c r="L949" t="str">
        <f t="shared" si="43"/>
        <v/>
      </c>
      <c r="M949" t="str">
        <f t="shared" si="44"/>
        <v>2026-03</v>
      </c>
    </row>
    <row r="950" spans="1:13" x14ac:dyDescent="0.25">
      <c r="A950" s="1">
        <v>46094</v>
      </c>
      <c r="B950" t="s">
        <v>22</v>
      </c>
      <c r="C950" s="2">
        <v>3000</v>
      </c>
      <c r="D950" t="s">
        <v>89</v>
      </c>
      <c r="E950" s="16" t="s">
        <v>90</v>
      </c>
      <c r="G950" s="7"/>
      <c r="I950" s="7"/>
      <c r="K950" t="str">
        <f t="shared" si="42"/>
        <v/>
      </c>
      <c r="L950" t="str">
        <f t="shared" si="43"/>
        <v/>
      </c>
      <c r="M950" t="str">
        <f t="shared" si="44"/>
        <v>2026-03</v>
      </c>
    </row>
    <row r="951" spans="1:13" x14ac:dyDescent="0.25">
      <c r="A951" s="1">
        <v>46094</v>
      </c>
      <c r="B951" t="s">
        <v>25</v>
      </c>
      <c r="C951" s="2">
        <v>3000</v>
      </c>
      <c r="D951" t="s">
        <v>89</v>
      </c>
      <c r="E951" s="16" t="s">
        <v>90</v>
      </c>
      <c r="G951" s="7"/>
      <c r="I951" s="7"/>
      <c r="K951" t="str">
        <f t="shared" si="42"/>
        <v/>
      </c>
      <c r="L951" t="str">
        <f t="shared" si="43"/>
        <v/>
      </c>
      <c r="M951" t="str">
        <f t="shared" si="44"/>
        <v>2026-03</v>
      </c>
    </row>
    <row r="952" spans="1:13" x14ac:dyDescent="0.25">
      <c r="A952" s="1">
        <v>46094</v>
      </c>
      <c r="B952" t="s">
        <v>111</v>
      </c>
      <c r="C952" s="2">
        <v>18750</v>
      </c>
      <c r="D952" t="s">
        <v>89</v>
      </c>
      <c r="E952" s="16" t="s">
        <v>90</v>
      </c>
      <c r="G952" s="7"/>
      <c r="I952" s="7"/>
      <c r="K952" t="str">
        <f t="shared" si="42"/>
        <v/>
      </c>
      <c r="L952" t="str">
        <f t="shared" si="43"/>
        <v/>
      </c>
      <c r="M952" t="str">
        <f t="shared" si="44"/>
        <v>2026-03</v>
      </c>
    </row>
    <row r="953" spans="1:13" x14ac:dyDescent="0.25">
      <c r="A953" s="1">
        <v>46094</v>
      </c>
      <c r="B953" t="s">
        <v>24</v>
      </c>
      <c r="C953" s="2">
        <v>400</v>
      </c>
      <c r="D953" t="s">
        <v>89</v>
      </c>
      <c r="E953" s="16" t="s">
        <v>90</v>
      </c>
      <c r="G953" s="7"/>
      <c r="I953" s="7"/>
      <c r="K953" t="str">
        <f t="shared" si="42"/>
        <v/>
      </c>
      <c r="L953" t="str">
        <f t="shared" si="43"/>
        <v/>
      </c>
      <c r="M953" t="str">
        <f t="shared" si="44"/>
        <v>2026-03</v>
      </c>
    </row>
    <row r="954" spans="1:13" x14ac:dyDescent="0.25">
      <c r="A954" s="1">
        <v>46095</v>
      </c>
      <c r="B954" t="s">
        <v>35</v>
      </c>
      <c r="C954" s="2">
        <v>7500</v>
      </c>
      <c r="D954" t="s">
        <v>89</v>
      </c>
      <c r="E954" s="16" t="s">
        <v>90</v>
      </c>
      <c r="G954" s="7"/>
      <c r="I954" s="7"/>
      <c r="K954" t="str">
        <f t="shared" si="42"/>
        <v/>
      </c>
      <c r="L954" t="str">
        <f t="shared" si="43"/>
        <v/>
      </c>
      <c r="M954" t="str">
        <f t="shared" si="44"/>
        <v>2026-03</v>
      </c>
    </row>
    <row r="955" spans="1:13" x14ac:dyDescent="0.25">
      <c r="A955" s="1">
        <v>46097</v>
      </c>
      <c r="B955" t="s">
        <v>9</v>
      </c>
      <c r="C955" s="2">
        <v>900</v>
      </c>
      <c r="D955" t="s">
        <v>89</v>
      </c>
      <c r="E955" s="16" t="s">
        <v>90</v>
      </c>
      <c r="G955" s="7"/>
      <c r="I955" s="7"/>
      <c r="K955" t="str">
        <f t="shared" si="42"/>
        <v/>
      </c>
      <c r="L955" t="str">
        <f t="shared" si="43"/>
        <v/>
      </c>
      <c r="M955" t="str">
        <f t="shared" si="44"/>
        <v>2026-03</v>
      </c>
    </row>
    <row r="956" spans="1:13" x14ac:dyDescent="0.25">
      <c r="A956" s="1">
        <v>46097</v>
      </c>
      <c r="B956" t="s">
        <v>30</v>
      </c>
      <c r="C956" s="2">
        <v>8500</v>
      </c>
      <c r="D956" t="s">
        <v>89</v>
      </c>
      <c r="E956" s="16" t="s">
        <v>90</v>
      </c>
      <c r="G956" s="7"/>
      <c r="I956" s="7"/>
      <c r="K956" t="str">
        <f t="shared" si="42"/>
        <v/>
      </c>
      <c r="L956" t="str">
        <f t="shared" si="43"/>
        <v/>
      </c>
      <c r="M956" t="str">
        <f t="shared" si="44"/>
        <v>2026-03</v>
      </c>
    </row>
    <row r="957" spans="1:13" x14ac:dyDescent="0.25">
      <c r="A957" s="1">
        <v>46097</v>
      </c>
      <c r="B957" t="s">
        <v>34</v>
      </c>
      <c r="C957" s="2">
        <v>9535</v>
      </c>
      <c r="D957" t="s">
        <v>89</v>
      </c>
      <c r="E957" s="16" t="s">
        <v>90</v>
      </c>
      <c r="G957" s="7"/>
      <c r="I957" s="7"/>
      <c r="K957" t="str">
        <f t="shared" si="42"/>
        <v/>
      </c>
      <c r="L957" t="str">
        <f t="shared" si="43"/>
        <v/>
      </c>
      <c r="M957" t="str">
        <f t="shared" si="44"/>
        <v>2026-03</v>
      </c>
    </row>
    <row r="958" spans="1:13" x14ac:dyDescent="0.25">
      <c r="A958" s="1">
        <v>46097</v>
      </c>
      <c r="B958" t="s">
        <v>26</v>
      </c>
      <c r="C958" s="2">
        <v>1050</v>
      </c>
      <c r="D958" t="s">
        <v>89</v>
      </c>
      <c r="E958" s="16" t="s">
        <v>90</v>
      </c>
      <c r="G958" s="7"/>
      <c r="I958" s="7"/>
      <c r="K958" t="str">
        <f t="shared" si="42"/>
        <v/>
      </c>
      <c r="L958" t="str">
        <f t="shared" si="43"/>
        <v/>
      </c>
      <c r="M958" t="str">
        <f t="shared" si="44"/>
        <v>2026-03</v>
      </c>
    </row>
    <row r="959" spans="1:13" x14ac:dyDescent="0.25">
      <c r="A959" s="1">
        <v>46098</v>
      </c>
      <c r="B959" t="s">
        <v>101</v>
      </c>
      <c r="C959" s="2">
        <v>400</v>
      </c>
      <c r="D959" t="s">
        <v>89</v>
      </c>
      <c r="E959" s="16" t="s">
        <v>90</v>
      </c>
      <c r="G959" s="7"/>
      <c r="I959" s="7"/>
      <c r="K959" t="str">
        <f t="shared" si="42"/>
        <v/>
      </c>
      <c r="L959" t="str">
        <f t="shared" si="43"/>
        <v/>
      </c>
      <c r="M959" t="str">
        <f t="shared" si="44"/>
        <v>2026-03</v>
      </c>
    </row>
    <row r="960" spans="1:13" x14ac:dyDescent="0.25">
      <c r="A960" s="1">
        <v>46098</v>
      </c>
      <c r="B960" t="s">
        <v>32</v>
      </c>
      <c r="C960" s="2">
        <v>1000</v>
      </c>
      <c r="D960" t="s">
        <v>89</v>
      </c>
      <c r="E960" s="16" t="s">
        <v>90</v>
      </c>
      <c r="G960" s="7"/>
      <c r="I960" s="7"/>
      <c r="K960" t="str">
        <f t="shared" si="42"/>
        <v/>
      </c>
      <c r="L960" t="str">
        <f t="shared" si="43"/>
        <v/>
      </c>
      <c r="M960" t="str">
        <f t="shared" si="44"/>
        <v>2026-03</v>
      </c>
    </row>
    <row r="961" spans="1:13" x14ac:dyDescent="0.25">
      <c r="A961" s="1">
        <v>46098</v>
      </c>
      <c r="B961" t="s">
        <v>29</v>
      </c>
      <c r="C961" s="2">
        <v>900</v>
      </c>
      <c r="D961" t="s">
        <v>89</v>
      </c>
      <c r="E961" s="16" t="s">
        <v>90</v>
      </c>
      <c r="G961" s="7"/>
      <c r="I961" s="7"/>
      <c r="K961" t="str">
        <f t="shared" si="42"/>
        <v/>
      </c>
      <c r="L961" t="str">
        <f t="shared" si="43"/>
        <v/>
      </c>
      <c r="M961" t="str">
        <f t="shared" si="44"/>
        <v>2026-03</v>
      </c>
    </row>
    <row r="962" spans="1:13" x14ac:dyDescent="0.25">
      <c r="A962" s="1">
        <v>46098</v>
      </c>
      <c r="B962" t="s">
        <v>33</v>
      </c>
      <c r="C962" s="2">
        <v>10400</v>
      </c>
      <c r="D962" t="s">
        <v>89</v>
      </c>
      <c r="E962" s="16" t="s">
        <v>90</v>
      </c>
      <c r="G962" s="7"/>
      <c r="I962" s="7"/>
      <c r="K962" t="str">
        <f t="shared" ref="K962:K1025" si="45">IF(AND(L962&lt;&gt;"",C962&gt;0),L962/C962,"")</f>
        <v/>
      </c>
      <c r="L962" t="str">
        <f t="shared" ref="L962:L1025" si="46">IF(AND(D962="FINALIZADO",H962&lt;&gt;""),VALUE(LEFT(H962,FIND("h",H962)-1))*60+VALUE(MID(H962,FIND("h",H962)+2,FIND("min",H962)-FIND("h",H962)-2)),"")</f>
        <v/>
      </c>
      <c r="M962" t="str">
        <f t="shared" ref="M962:M1025" si="47">TEXT(YEAR(A962),"0000")&amp;"-"&amp;TEXT(MONTH(A962),"00")</f>
        <v>2026-03</v>
      </c>
    </row>
    <row r="963" spans="1:13" x14ac:dyDescent="0.25">
      <c r="A963" s="1">
        <v>46098</v>
      </c>
      <c r="B963" t="s">
        <v>29</v>
      </c>
      <c r="C963" s="2">
        <v>2700</v>
      </c>
      <c r="D963" t="s">
        <v>89</v>
      </c>
      <c r="E963" s="16" t="s">
        <v>90</v>
      </c>
      <c r="G963" s="7"/>
      <c r="I963" s="7"/>
      <c r="K963" t="str">
        <f t="shared" si="45"/>
        <v/>
      </c>
      <c r="L963" t="str">
        <f t="shared" si="46"/>
        <v/>
      </c>
      <c r="M963" t="str">
        <f t="shared" si="47"/>
        <v>2026-03</v>
      </c>
    </row>
    <row r="964" spans="1:13" x14ac:dyDescent="0.25">
      <c r="A964" s="1">
        <v>46098</v>
      </c>
      <c r="B964" t="s">
        <v>27</v>
      </c>
      <c r="C964" s="2">
        <v>3150</v>
      </c>
      <c r="D964" t="s">
        <v>89</v>
      </c>
      <c r="E964" s="16" t="s">
        <v>90</v>
      </c>
      <c r="G964" s="7"/>
      <c r="I964" s="7"/>
      <c r="K964" t="str">
        <f t="shared" si="45"/>
        <v/>
      </c>
      <c r="L964" t="str">
        <f t="shared" si="46"/>
        <v/>
      </c>
      <c r="M964" t="str">
        <f t="shared" si="47"/>
        <v>2026-03</v>
      </c>
    </row>
    <row r="965" spans="1:13" x14ac:dyDescent="0.25">
      <c r="A965" s="1">
        <v>46098</v>
      </c>
      <c r="B965" t="s">
        <v>16</v>
      </c>
      <c r="C965" s="2">
        <v>1100</v>
      </c>
      <c r="D965" t="s">
        <v>89</v>
      </c>
      <c r="E965" s="16" t="s">
        <v>90</v>
      </c>
      <c r="G965" s="7"/>
      <c r="I965" s="7"/>
      <c r="K965" t="str">
        <f t="shared" si="45"/>
        <v/>
      </c>
      <c r="L965" t="str">
        <f t="shared" si="46"/>
        <v/>
      </c>
      <c r="M965" t="str">
        <f t="shared" si="47"/>
        <v>2026-03</v>
      </c>
    </row>
    <row r="966" spans="1:13" x14ac:dyDescent="0.25">
      <c r="A966" s="1">
        <v>46099</v>
      </c>
      <c r="B966" t="s">
        <v>34</v>
      </c>
      <c r="C966" s="2">
        <v>16170</v>
      </c>
      <c r="D966" t="s">
        <v>89</v>
      </c>
      <c r="E966" s="16" t="s">
        <v>90</v>
      </c>
      <c r="G966" s="7"/>
      <c r="I966" s="7"/>
      <c r="K966" t="str">
        <f t="shared" si="45"/>
        <v/>
      </c>
      <c r="L966" t="str">
        <f t="shared" si="46"/>
        <v/>
      </c>
      <c r="M966" t="str">
        <f t="shared" si="47"/>
        <v>2026-03</v>
      </c>
    </row>
    <row r="967" spans="1:13" x14ac:dyDescent="0.25">
      <c r="A967" s="1">
        <v>46099</v>
      </c>
      <c r="B967" t="s">
        <v>112</v>
      </c>
      <c r="C967" s="2">
        <v>650</v>
      </c>
      <c r="D967" t="s">
        <v>89</v>
      </c>
      <c r="E967" s="16" t="s">
        <v>90</v>
      </c>
      <c r="G967" s="7"/>
      <c r="I967" s="7"/>
      <c r="K967" t="str">
        <f t="shared" si="45"/>
        <v/>
      </c>
      <c r="L967" t="str">
        <f t="shared" si="46"/>
        <v/>
      </c>
      <c r="M967" t="str">
        <f t="shared" si="47"/>
        <v>2026-03</v>
      </c>
    </row>
    <row r="968" spans="1:13" x14ac:dyDescent="0.25">
      <c r="A968" s="1">
        <v>46099</v>
      </c>
      <c r="B968" t="s">
        <v>32</v>
      </c>
      <c r="C968" s="2">
        <v>1100</v>
      </c>
      <c r="D968" t="s">
        <v>89</v>
      </c>
      <c r="E968" s="16" t="s">
        <v>90</v>
      </c>
      <c r="G968" s="7"/>
      <c r="I968" s="7"/>
      <c r="K968" t="str">
        <f t="shared" si="45"/>
        <v/>
      </c>
      <c r="L968" t="str">
        <f t="shared" si="46"/>
        <v/>
      </c>
      <c r="M968" t="str">
        <f t="shared" si="47"/>
        <v>2026-03</v>
      </c>
    </row>
    <row r="969" spans="1:13" x14ac:dyDescent="0.25">
      <c r="A969" s="1">
        <v>46099</v>
      </c>
      <c r="B969" t="s">
        <v>109</v>
      </c>
      <c r="C969" s="2">
        <v>1350</v>
      </c>
      <c r="D969" t="s">
        <v>89</v>
      </c>
      <c r="E969" s="16" t="s">
        <v>90</v>
      </c>
      <c r="G969" s="7"/>
      <c r="I969" s="7"/>
      <c r="K969" t="str">
        <f t="shared" si="45"/>
        <v/>
      </c>
      <c r="L969" t="str">
        <f t="shared" si="46"/>
        <v/>
      </c>
      <c r="M969" t="str">
        <f t="shared" si="47"/>
        <v>2026-03</v>
      </c>
    </row>
    <row r="970" spans="1:13" x14ac:dyDescent="0.25">
      <c r="A970" s="1">
        <v>46099</v>
      </c>
      <c r="B970" t="s">
        <v>100</v>
      </c>
      <c r="C970" s="2">
        <v>2000</v>
      </c>
      <c r="D970" t="s">
        <v>89</v>
      </c>
      <c r="E970" s="16" t="s">
        <v>90</v>
      </c>
      <c r="G970" s="7"/>
      <c r="I970" s="7"/>
      <c r="K970" t="str">
        <f t="shared" si="45"/>
        <v/>
      </c>
      <c r="L970" t="str">
        <f t="shared" si="46"/>
        <v/>
      </c>
      <c r="M970" t="str">
        <f t="shared" si="47"/>
        <v>2026-03</v>
      </c>
    </row>
    <row r="971" spans="1:13" x14ac:dyDescent="0.25">
      <c r="A971" s="1">
        <v>46100</v>
      </c>
      <c r="B971" t="s">
        <v>35</v>
      </c>
      <c r="C971" s="2">
        <v>10000</v>
      </c>
      <c r="D971" t="s">
        <v>89</v>
      </c>
      <c r="E971" s="16" t="s">
        <v>90</v>
      </c>
      <c r="G971" s="7"/>
      <c r="I971" s="7"/>
      <c r="K971" t="str">
        <f t="shared" si="45"/>
        <v/>
      </c>
      <c r="L971" t="str">
        <f t="shared" si="46"/>
        <v/>
      </c>
      <c r="M971" t="str">
        <f t="shared" si="47"/>
        <v>2026-03</v>
      </c>
    </row>
    <row r="972" spans="1:13" x14ac:dyDescent="0.25">
      <c r="A972" s="1">
        <v>46100</v>
      </c>
      <c r="B972" t="s">
        <v>101</v>
      </c>
      <c r="C972" s="2">
        <v>400</v>
      </c>
      <c r="D972" t="s">
        <v>89</v>
      </c>
      <c r="E972" s="16" t="s">
        <v>90</v>
      </c>
      <c r="G972" s="7"/>
      <c r="I972" s="7"/>
      <c r="K972" t="str">
        <f t="shared" si="45"/>
        <v/>
      </c>
      <c r="L972" t="str">
        <f t="shared" si="46"/>
        <v/>
      </c>
      <c r="M972" t="str">
        <f t="shared" si="47"/>
        <v>2026-03</v>
      </c>
    </row>
    <row r="973" spans="1:13" x14ac:dyDescent="0.25">
      <c r="A973" s="1">
        <v>46100</v>
      </c>
      <c r="B973" t="s">
        <v>27</v>
      </c>
      <c r="C973" s="2">
        <v>3150</v>
      </c>
      <c r="D973" t="s">
        <v>89</v>
      </c>
      <c r="E973" s="16" t="s">
        <v>90</v>
      </c>
      <c r="G973" s="7"/>
      <c r="I973" s="7"/>
      <c r="K973" t="str">
        <f t="shared" si="45"/>
        <v/>
      </c>
      <c r="L973" t="str">
        <f t="shared" si="46"/>
        <v/>
      </c>
      <c r="M973" t="str">
        <f t="shared" si="47"/>
        <v>2026-03</v>
      </c>
    </row>
    <row r="974" spans="1:13" x14ac:dyDescent="0.25">
      <c r="A974" s="1">
        <v>46100</v>
      </c>
      <c r="B974" t="s">
        <v>15</v>
      </c>
      <c r="C974" s="2">
        <v>1100</v>
      </c>
      <c r="D974" t="s">
        <v>89</v>
      </c>
      <c r="E974" s="16" t="s">
        <v>90</v>
      </c>
      <c r="G974" s="7"/>
      <c r="I974" s="7"/>
      <c r="K974" t="str">
        <f t="shared" si="45"/>
        <v/>
      </c>
      <c r="L974" t="str">
        <f t="shared" si="46"/>
        <v/>
      </c>
      <c r="M974" t="str">
        <f t="shared" si="47"/>
        <v>2026-03</v>
      </c>
    </row>
    <row r="975" spans="1:13" x14ac:dyDescent="0.25">
      <c r="A975" s="1">
        <v>46100</v>
      </c>
      <c r="B975" t="s">
        <v>33</v>
      </c>
      <c r="C975" s="2">
        <v>10400</v>
      </c>
      <c r="D975" t="s">
        <v>89</v>
      </c>
      <c r="E975" s="16" t="s">
        <v>90</v>
      </c>
      <c r="G975" s="7"/>
      <c r="I975" s="7"/>
      <c r="K975" t="str">
        <f t="shared" si="45"/>
        <v/>
      </c>
      <c r="L975" t="str">
        <f t="shared" si="46"/>
        <v/>
      </c>
      <c r="M975" t="str">
        <f t="shared" si="47"/>
        <v>2026-03</v>
      </c>
    </row>
    <row r="976" spans="1:13" x14ac:dyDescent="0.25">
      <c r="A976" s="1">
        <v>46100</v>
      </c>
      <c r="B976" t="s">
        <v>29</v>
      </c>
      <c r="C976" s="2">
        <v>900</v>
      </c>
      <c r="D976" t="s">
        <v>89</v>
      </c>
      <c r="E976" s="16" t="s">
        <v>90</v>
      </c>
      <c r="G976" s="7"/>
      <c r="I976" s="7"/>
      <c r="K976" t="str">
        <f t="shared" si="45"/>
        <v/>
      </c>
      <c r="L976" t="str">
        <f t="shared" si="46"/>
        <v/>
      </c>
      <c r="M976" t="str">
        <f t="shared" si="47"/>
        <v>2026-03</v>
      </c>
    </row>
    <row r="977" spans="1:13" x14ac:dyDescent="0.25">
      <c r="A977" s="1">
        <v>46101</v>
      </c>
      <c r="B977" t="s">
        <v>12</v>
      </c>
      <c r="C977" s="2">
        <v>2000</v>
      </c>
      <c r="D977" t="s">
        <v>89</v>
      </c>
      <c r="E977" s="16" t="s">
        <v>90</v>
      </c>
      <c r="G977" s="7"/>
      <c r="I977" s="7"/>
      <c r="K977" t="str">
        <f t="shared" si="45"/>
        <v/>
      </c>
      <c r="L977" t="str">
        <f t="shared" si="46"/>
        <v/>
      </c>
      <c r="M977" t="str">
        <f t="shared" si="47"/>
        <v>2026-03</v>
      </c>
    </row>
    <row r="978" spans="1:13" x14ac:dyDescent="0.25">
      <c r="A978" s="1">
        <v>46101</v>
      </c>
      <c r="B978" t="s">
        <v>31</v>
      </c>
      <c r="C978" s="2">
        <v>5000</v>
      </c>
      <c r="D978" t="s">
        <v>89</v>
      </c>
      <c r="E978" s="16" t="s">
        <v>90</v>
      </c>
      <c r="G978" s="7"/>
      <c r="I978" s="7"/>
      <c r="K978" t="str">
        <f t="shared" si="45"/>
        <v/>
      </c>
      <c r="L978" t="str">
        <f t="shared" si="46"/>
        <v/>
      </c>
      <c r="M978" t="str">
        <f t="shared" si="47"/>
        <v>2026-03</v>
      </c>
    </row>
    <row r="979" spans="1:13" x14ac:dyDescent="0.25">
      <c r="A979" s="1">
        <v>46101</v>
      </c>
      <c r="B979" t="s">
        <v>33</v>
      </c>
      <c r="C979" s="2">
        <v>10400</v>
      </c>
      <c r="D979" t="s">
        <v>89</v>
      </c>
      <c r="E979" s="16" t="s">
        <v>90</v>
      </c>
      <c r="G979" s="7"/>
      <c r="I979" s="7"/>
      <c r="K979" t="str">
        <f t="shared" si="45"/>
        <v/>
      </c>
      <c r="L979" t="str">
        <f t="shared" si="46"/>
        <v/>
      </c>
      <c r="M979" t="str">
        <f t="shared" si="47"/>
        <v>2026-03</v>
      </c>
    </row>
    <row r="980" spans="1:13" x14ac:dyDescent="0.25">
      <c r="A980" s="1">
        <v>46101</v>
      </c>
      <c r="B980" t="s">
        <v>35</v>
      </c>
      <c r="C980" s="2">
        <v>10070</v>
      </c>
      <c r="D980" t="s">
        <v>89</v>
      </c>
      <c r="E980" s="16" t="s">
        <v>90</v>
      </c>
      <c r="G980" s="7"/>
      <c r="I980" s="7"/>
      <c r="K980" t="str">
        <f t="shared" si="45"/>
        <v/>
      </c>
      <c r="L980" t="str">
        <f t="shared" si="46"/>
        <v/>
      </c>
      <c r="M980" t="str">
        <f t="shared" si="47"/>
        <v>2026-03</v>
      </c>
    </row>
    <row r="981" spans="1:13" x14ac:dyDescent="0.25">
      <c r="A981" s="1">
        <v>46104</v>
      </c>
      <c r="B981" t="s">
        <v>29</v>
      </c>
      <c r="C981" s="2">
        <v>900</v>
      </c>
      <c r="D981" t="s">
        <v>89</v>
      </c>
      <c r="E981" s="16" t="s">
        <v>90</v>
      </c>
      <c r="G981" s="7"/>
      <c r="I981" s="7"/>
      <c r="K981" t="str">
        <f t="shared" si="45"/>
        <v/>
      </c>
      <c r="L981" t="str">
        <f t="shared" si="46"/>
        <v/>
      </c>
      <c r="M981" t="str">
        <f t="shared" si="47"/>
        <v>2026-03</v>
      </c>
    </row>
    <row r="982" spans="1:13" x14ac:dyDescent="0.25">
      <c r="A982" s="1">
        <v>46104</v>
      </c>
      <c r="B982" t="s">
        <v>8</v>
      </c>
      <c r="C982" s="2">
        <v>650</v>
      </c>
      <c r="D982" t="s">
        <v>89</v>
      </c>
      <c r="E982" s="16" t="s">
        <v>90</v>
      </c>
      <c r="G982" s="7"/>
      <c r="I982" s="7"/>
      <c r="K982" t="str">
        <f t="shared" si="45"/>
        <v/>
      </c>
      <c r="L982" t="str">
        <f t="shared" si="46"/>
        <v/>
      </c>
      <c r="M982" t="str">
        <f t="shared" si="47"/>
        <v>2026-03</v>
      </c>
    </row>
    <row r="983" spans="1:13" x14ac:dyDescent="0.25">
      <c r="A983" s="1">
        <v>46104</v>
      </c>
      <c r="B983" t="s">
        <v>32</v>
      </c>
      <c r="C983" s="2">
        <v>9900</v>
      </c>
      <c r="D983" t="s">
        <v>89</v>
      </c>
      <c r="E983" s="16" t="s">
        <v>90</v>
      </c>
      <c r="G983" s="7"/>
      <c r="I983" s="7"/>
      <c r="K983" t="str">
        <f t="shared" si="45"/>
        <v/>
      </c>
      <c r="L983" t="str">
        <f t="shared" si="46"/>
        <v/>
      </c>
      <c r="M983" t="str">
        <f t="shared" si="47"/>
        <v>2026-03</v>
      </c>
    </row>
    <row r="984" spans="1:13" x14ac:dyDescent="0.25">
      <c r="A984" s="1">
        <v>46104</v>
      </c>
      <c r="B984" t="s">
        <v>22</v>
      </c>
      <c r="C984" s="2">
        <v>2000</v>
      </c>
      <c r="D984" t="s">
        <v>89</v>
      </c>
      <c r="E984" s="16" t="s">
        <v>90</v>
      </c>
      <c r="G984" s="7"/>
      <c r="I984" s="7"/>
      <c r="K984" t="str">
        <f t="shared" si="45"/>
        <v/>
      </c>
      <c r="L984" t="str">
        <f t="shared" si="46"/>
        <v/>
      </c>
      <c r="M984" t="str">
        <f t="shared" si="47"/>
        <v>2026-03</v>
      </c>
    </row>
    <row r="985" spans="1:13" x14ac:dyDescent="0.25">
      <c r="A985" s="1">
        <v>46104</v>
      </c>
      <c r="B985" t="s">
        <v>13</v>
      </c>
      <c r="C985" s="2">
        <v>1000</v>
      </c>
      <c r="D985" t="s">
        <v>89</v>
      </c>
      <c r="E985" s="16" t="s">
        <v>90</v>
      </c>
      <c r="G985" s="7"/>
      <c r="I985" s="7"/>
      <c r="K985" t="str">
        <f t="shared" si="45"/>
        <v/>
      </c>
      <c r="L985" t="str">
        <f t="shared" si="46"/>
        <v/>
      </c>
      <c r="M985" t="str">
        <f t="shared" si="47"/>
        <v>2026-03</v>
      </c>
    </row>
    <row r="986" spans="1:13" x14ac:dyDescent="0.25">
      <c r="A986" s="1">
        <v>46105</v>
      </c>
      <c r="B986" t="s">
        <v>14</v>
      </c>
      <c r="C986" s="2">
        <v>1000</v>
      </c>
      <c r="D986" t="s">
        <v>89</v>
      </c>
      <c r="E986" s="16" t="s">
        <v>90</v>
      </c>
      <c r="G986" s="7"/>
      <c r="I986" s="7"/>
      <c r="K986" t="str">
        <f t="shared" si="45"/>
        <v/>
      </c>
      <c r="L986" t="str">
        <f t="shared" si="46"/>
        <v/>
      </c>
      <c r="M986" t="str">
        <f t="shared" si="47"/>
        <v>2026-03</v>
      </c>
    </row>
    <row r="987" spans="1:13" x14ac:dyDescent="0.25">
      <c r="A987" s="1">
        <v>46105</v>
      </c>
      <c r="B987" t="s">
        <v>106</v>
      </c>
      <c r="C987" s="2">
        <v>1250</v>
      </c>
      <c r="D987" t="s">
        <v>89</v>
      </c>
      <c r="E987" s="16" t="s">
        <v>90</v>
      </c>
      <c r="G987" s="7"/>
      <c r="I987" s="7"/>
      <c r="K987" t="str">
        <f t="shared" si="45"/>
        <v/>
      </c>
      <c r="L987" t="str">
        <f t="shared" si="46"/>
        <v/>
      </c>
      <c r="M987" t="str">
        <f t="shared" si="47"/>
        <v>2026-03</v>
      </c>
    </row>
    <row r="988" spans="1:13" x14ac:dyDescent="0.25">
      <c r="A988" s="1">
        <v>46105</v>
      </c>
      <c r="B988" t="s">
        <v>30</v>
      </c>
      <c r="C988" s="2">
        <v>8500</v>
      </c>
      <c r="D988" t="s">
        <v>89</v>
      </c>
      <c r="E988" s="16" t="s">
        <v>90</v>
      </c>
      <c r="G988" s="7"/>
      <c r="I988" s="7"/>
      <c r="K988" t="str">
        <f t="shared" si="45"/>
        <v/>
      </c>
      <c r="L988" t="str">
        <f t="shared" si="46"/>
        <v/>
      </c>
      <c r="M988" t="str">
        <f t="shared" si="47"/>
        <v>2026-03</v>
      </c>
    </row>
    <row r="989" spans="1:13" x14ac:dyDescent="0.25">
      <c r="A989" s="1">
        <v>46105</v>
      </c>
      <c r="B989" t="s">
        <v>34</v>
      </c>
      <c r="C989" s="2">
        <v>10000</v>
      </c>
      <c r="D989" t="s">
        <v>89</v>
      </c>
      <c r="E989" s="16" t="s">
        <v>90</v>
      </c>
      <c r="G989" s="7"/>
      <c r="I989" s="7"/>
      <c r="K989" t="str">
        <f t="shared" si="45"/>
        <v/>
      </c>
      <c r="L989" t="str">
        <f t="shared" si="46"/>
        <v/>
      </c>
      <c r="M989" t="str">
        <f t="shared" si="47"/>
        <v>2026-03</v>
      </c>
    </row>
    <row r="990" spans="1:13" x14ac:dyDescent="0.25">
      <c r="A990" s="1">
        <v>46105</v>
      </c>
      <c r="B990" t="s">
        <v>29</v>
      </c>
      <c r="C990" s="2">
        <v>1800</v>
      </c>
      <c r="D990" t="s">
        <v>89</v>
      </c>
      <c r="E990" s="16" t="s">
        <v>90</v>
      </c>
      <c r="G990" s="7"/>
      <c r="I990" s="7"/>
      <c r="K990" t="str">
        <f t="shared" si="45"/>
        <v/>
      </c>
      <c r="L990" t="str">
        <f t="shared" si="46"/>
        <v/>
      </c>
      <c r="M990" t="str">
        <f t="shared" si="47"/>
        <v>2026-03</v>
      </c>
    </row>
    <row r="991" spans="1:13" x14ac:dyDescent="0.25">
      <c r="A991" s="1">
        <v>46106</v>
      </c>
      <c r="B991" t="s">
        <v>34</v>
      </c>
      <c r="C991" s="2">
        <v>10000</v>
      </c>
      <c r="D991" t="s">
        <v>89</v>
      </c>
      <c r="E991" s="16" t="s">
        <v>90</v>
      </c>
      <c r="G991" s="7"/>
      <c r="I991" s="7"/>
      <c r="K991" t="str">
        <f t="shared" si="45"/>
        <v/>
      </c>
      <c r="L991" t="str">
        <f t="shared" si="46"/>
        <v/>
      </c>
      <c r="M991" t="str">
        <f t="shared" si="47"/>
        <v>2026-03</v>
      </c>
    </row>
    <row r="992" spans="1:13" x14ac:dyDescent="0.25">
      <c r="A992" s="1">
        <v>46106</v>
      </c>
      <c r="B992" t="s">
        <v>106</v>
      </c>
      <c r="C992" s="2">
        <v>2500</v>
      </c>
      <c r="D992" t="s">
        <v>89</v>
      </c>
      <c r="E992" s="16" t="s">
        <v>90</v>
      </c>
      <c r="G992" s="7"/>
      <c r="I992" s="7"/>
      <c r="K992" t="str">
        <f t="shared" si="45"/>
        <v/>
      </c>
      <c r="L992" t="str">
        <f t="shared" si="46"/>
        <v/>
      </c>
      <c r="M992" t="str">
        <f t="shared" si="47"/>
        <v>2026-03</v>
      </c>
    </row>
    <row r="993" spans="1:13" x14ac:dyDescent="0.25">
      <c r="A993" s="1">
        <v>46106</v>
      </c>
      <c r="B993" t="s">
        <v>33</v>
      </c>
      <c r="C993" s="2">
        <v>10400</v>
      </c>
      <c r="D993" t="s">
        <v>89</v>
      </c>
      <c r="E993" s="16" t="s">
        <v>90</v>
      </c>
      <c r="G993" s="7"/>
      <c r="I993" s="7"/>
      <c r="K993" t="str">
        <f t="shared" si="45"/>
        <v/>
      </c>
      <c r="L993" t="str">
        <f t="shared" si="46"/>
        <v/>
      </c>
      <c r="M993" t="str">
        <f t="shared" si="47"/>
        <v>2026-03</v>
      </c>
    </row>
    <row r="994" spans="1:13" x14ac:dyDescent="0.25">
      <c r="A994" s="1">
        <v>46106</v>
      </c>
      <c r="B994" t="s">
        <v>16</v>
      </c>
      <c r="C994" s="2">
        <v>1100</v>
      </c>
      <c r="D994" t="s">
        <v>89</v>
      </c>
      <c r="E994" s="16" t="s">
        <v>90</v>
      </c>
      <c r="G994" s="7"/>
      <c r="I994" s="7"/>
      <c r="K994" t="str">
        <f t="shared" si="45"/>
        <v/>
      </c>
      <c r="L994" t="str">
        <f t="shared" si="46"/>
        <v/>
      </c>
      <c r="M994" t="str">
        <f t="shared" si="47"/>
        <v>2026-03</v>
      </c>
    </row>
    <row r="995" spans="1:13" x14ac:dyDescent="0.25">
      <c r="A995" s="1">
        <v>46106</v>
      </c>
      <c r="B995" t="s">
        <v>28</v>
      </c>
      <c r="C995" s="2">
        <v>4500</v>
      </c>
      <c r="D995" t="s">
        <v>89</v>
      </c>
      <c r="E995" s="16" t="s">
        <v>90</v>
      </c>
      <c r="G995" s="7"/>
      <c r="I995" s="7"/>
      <c r="K995" t="str">
        <f t="shared" si="45"/>
        <v/>
      </c>
      <c r="L995" t="str">
        <f t="shared" si="46"/>
        <v/>
      </c>
      <c r="M995" t="str">
        <f t="shared" si="47"/>
        <v>2026-03</v>
      </c>
    </row>
    <row r="996" spans="1:13" x14ac:dyDescent="0.25">
      <c r="A996" s="1">
        <v>46106</v>
      </c>
      <c r="B996" t="s">
        <v>35</v>
      </c>
      <c r="C996" s="2">
        <v>18775</v>
      </c>
      <c r="D996" t="s">
        <v>89</v>
      </c>
      <c r="E996" s="16" t="s">
        <v>90</v>
      </c>
      <c r="G996" s="7"/>
      <c r="I996" s="7"/>
      <c r="K996" t="str">
        <f t="shared" si="45"/>
        <v/>
      </c>
      <c r="L996" t="str">
        <f t="shared" si="46"/>
        <v/>
      </c>
      <c r="M996" t="str">
        <f t="shared" si="47"/>
        <v>2026-03</v>
      </c>
    </row>
    <row r="997" spans="1:13" x14ac:dyDescent="0.25">
      <c r="A997" s="1">
        <v>46108</v>
      </c>
      <c r="B997" t="s">
        <v>31</v>
      </c>
      <c r="C997" s="2">
        <v>10000</v>
      </c>
      <c r="D997" t="s">
        <v>89</v>
      </c>
      <c r="E997" s="16" t="s">
        <v>90</v>
      </c>
      <c r="G997" s="7"/>
      <c r="I997" s="7"/>
      <c r="K997" t="str">
        <f t="shared" si="45"/>
        <v/>
      </c>
      <c r="L997" t="str">
        <f t="shared" si="46"/>
        <v/>
      </c>
      <c r="M997" t="str">
        <f t="shared" si="47"/>
        <v>2026-03</v>
      </c>
    </row>
    <row r="998" spans="1:13" x14ac:dyDescent="0.25">
      <c r="A998" s="1">
        <v>46108</v>
      </c>
      <c r="B998" t="s">
        <v>35</v>
      </c>
      <c r="C998" s="2">
        <v>6000</v>
      </c>
      <c r="D998" t="s">
        <v>89</v>
      </c>
      <c r="E998" s="16" t="s">
        <v>90</v>
      </c>
      <c r="G998" s="7"/>
      <c r="I998" s="7"/>
      <c r="K998" t="str">
        <f t="shared" si="45"/>
        <v/>
      </c>
      <c r="L998" t="str">
        <f t="shared" si="46"/>
        <v/>
      </c>
      <c r="M998" t="str">
        <f t="shared" si="47"/>
        <v>2026-03</v>
      </c>
    </row>
    <row r="999" spans="1:13" x14ac:dyDescent="0.25">
      <c r="A999" s="1">
        <v>46108</v>
      </c>
      <c r="B999" t="s">
        <v>29</v>
      </c>
      <c r="C999" s="2">
        <v>900</v>
      </c>
      <c r="D999" t="s">
        <v>89</v>
      </c>
      <c r="E999" s="16" t="s">
        <v>90</v>
      </c>
      <c r="G999" s="7"/>
      <c r="I999" s="7"/>
      <c r="K999" t="str">
        <f t="shared" si="45"/>
        <v/>
      </c>
      <c r="L999" t="str">
        <f t="shared" si="46"/>
        <v/>
      </c>
      <c r="M999" t="str">
        <f t="shared" si="47"/>
        <v>2026-03</v>
      </c>
    </row>
    <row r="1000" spans="1:13" x14ac:dyDescent="0.25">
      <c r="A1000" s="1">
        <v>46108</v>
      </c>
      <c r="B1000" t="s">
        <v>25</v>
      </c>
      <c r="C1000" s="2">
        <v>4000</v>
      </c>
      <c r="D1000" t="s">
        <v>89</v>
      </c>
      <c r="E1000" s="16" t="s">
        <v>90</v>
      </c>
      <c r="G1000" s="7"/>
      <c r="I1000" s="7"/>
      <c r="K1000" t="str">
        <f t="shared" si="45"/>
        <v/>
      </c>
      <c r="L1000" t="str">
        <f t="shared" si="46"/>
        <v/>
      </c>
      <c r="M1000" t="str">
        <f t="shared" si="47"/>
        <v>2026-03</v>
      </c>
    </row>
    <row r="1001" spans="1:13" x14ac:dyDescent="0.25">
      <c r="A1001" s="1">
        <v>46109</v>
      </c>
      <c r="B1001" t="s">
        <v>23</v>
      </c>
      <c r="C1001" s="2">
        <v>3750</v>
      </c>
      <c r="D1001" t="s">
        <v>89</v>
      </c>
      <c r="E1001" s="16" t="s">
        <v>90</v>
      </c>
      <c r="G1001" s="7"/>
      <c r="I1001" s="7"/>
      <c r="K1001" t="str">
        <f t="shared" si="45"/>
        <v/>
      </c>
      <c r="L1001" t="str">
        <f t="shared" si="46"/>
        <v/>
      </c>
      <c r="M1001" t="str">
        <f t="shared" si="47"/>
        <v>2026-03</v>
      </c>
    </row>
    <row r="1002" spans="1:13" x14ac:dyDescent="0.25">
      <c r="A1002" s="1">
        <v>46110</v>
      </c>
      <c r="B1002" t="s">
        <v>24</v>
      </c>
      <c r="C1002" s="2">
        <v>6000</v>
      </c>
      <c r="D1002" t="s">
        <v>89</v>
      </c>
      <c r="E1002" s="16" t="s">
        <v>90</v>
      </c>
      <c r="G1002" s="7"/>
      <c r="I1002" s="7"/>
      <c r="K1002" t="str">
        <f t="shared" si="45"/>
        <v/>
      </c>
      <c r="L1002" t="str">
        <f t="shared" si="46"/>
        <v/>
      </c>
      <c r="M1002" t="str">
        <f t="shared" si="47"/>
        <v>2026-03</v>
      </c>
    </row>
    <row r="1003" spans="1:13" x14ac:dyDescent="0.25">
      <c r="A1003" s="1">
        <v>46111</v>
      </c>
      <c r="B1003" t="s">
        <v>33</v>
      </c>
      <c r="C1003" s="2">
        <v>10400</v>
      </c>
      <c r="D1003" t="s">
        <v>89</v>
      </c>
      <c r="E1003" s="16" t="s">
        <v>90</v>
      </c>
      <c r="G1003" s="7"/>
      <c r="I1003" s="7"/>
      <c r="K1003" t="str">
        <f t="shared" si="45"/>
        <v/>
      </c>
      <c r="L1003" t="str">
        <f t="shared" si="46"/>
        <v/>
      </c>
      <c r="M1003" t="str">
        <f t="shared" si="47"/>
        <v>2026-03</v>
      </c>
    </row>
    <row r="1004" spans="1:13" x14ac:dyDescent="0.25">
      <c r="A1004" s="1">
        <v>46112</v>
      </c>
      <c r="B1004" t="s">
        <v>113</v>
      </c>
      <c r="C1004" s="2">
        <v>5795</v>
      </c>
      <c r="D1004" t="s">
        <v>89</v>
      </c>
      <c r="E1004" s="16" t="s">
        <v>90</v>
      </c>
      <c r="G1004" s="7"/>
      <c r="I1004" s="7"/>
      <c r="K1004" t="str">
        <f t="shared" si="45"/>
        <v/>
      </c>
      <c r="L1004" t="str">
        <f t="shared" si="46"/>
        <v/>
      </c>
      <c r="M1004" t="str">
        <f t="shared" si="47"/>
        <v>2026-03</v>
      </c>
    </row>
    <row r="1005" spans="1:13" x14ac:dyDescent="0.25">
      <c r="A1005" s="1">
        <v>46114</v>
      </c>
      <c r="B1005" t="s">
        <v>10</v>
      </c>
      <c r="C1005" s="2">
        <v>220</v>
      </c>
      <c r="D1005" t="s">
        <v>89</v>
      </c>
      <c r="E1005" s="16" t="s">
        <v>90</v>
      </c>
      <c r="G1005" s="23">
        <v>46195.490185185183</v>
      </c>
      <c r="I1005" s="7"/>
      <c r="K1005" t="str">
        <f t="shared" si="45"/>
        <v/>
      </c>
      <c r="L1005" t="str">
        <f t="shared" si="46"/>
        <v/>
      </c>
      <c r="M1005" t="str">
        <f t="shared" si="47"/>
        <v>2026-04</v>
      </c>
    </row>
    <row r="1006" spans="1:13" x14ac:dyDescent="0.25">
      <c r="A1006" s="1">
        <v>46126</v>
      </c>
      <c r="B1006" t="s">
        <v>27</v>
      </c>
      <c r="C1006" s="2">
        <v>3200</v>
      </c>
      <c r="D1006" t="s">
        <v>89</v>
      </c>
      <c r="E1006" s="16" t="s">
        <v>90</v>
      </c>
      <c r="G1006" s="23">
        <v>46195.511990740742</v>
      </c>
      <c r="I1006" s="7"/>
      <c r="K1006" t="str">
        <f t="shared" si="45"/>
        <v/>
      </c>
      <c r="L1006" t="str">
        <f t="shared" si="46"/>
        <v/>
      </c>
      <c r="M1006" t="str">
        <f t="shared" si="47"/>
        <v>2026-04</v>
      </c>
    </row>
    <row r="1007" spans="1:13" x14ac:dyDescent="0.25">
      <c r="A1007" s="1">
        <v>46134</v>
      </c>
      <c r="B1007" t="s">
        <v>27</v>
      </c>
      <c r="C1007" s="2">
        <v>2100</v>
      </c>
      <c r="D1007" t="s">
        <v>89</v>
      </c>
      <c r="E1007" s="16" t="s">
        <v>90</v>
      </c>
      <c r="G1007" s="23">
        <v>46195.511608796296</v>
      </c>
      <c r="I1007" s="7"/>
      <c r="K1007" t="str">
        <f t="shared" si="45"/>
        <v/>
      </c>
      <c r="L1007" t="str">
        <f t="shared" si="46"/>
        <v/>
      </c>
      <c r="M1007" t="str">
        <f t="shared" si="47"/>
        <v>2026-04</v>
      </c>
    </row>
    <row r="1008" spans="1:13" x14ac:dyDescent="0.25">
      <c r="A1008" s="1">
        <v>46136</v>
      </c>
      <c r="B1008" t="s">
        <v>27</v>
      </c>
      <c r="C1008" s="2">
        <v>5250</v>
      </c>
      <c r="D1008" t="s">
        <v>89</v>
      </c>
      <c r="E1008" s="16" t="s">
        <v>90</v>
      </c>
      <c r="G1008" s="23">
        <v>46195.511342592596</v>
      </c>
      <c r="I1008" s="7"/>
      <c r="K1008" t="str">
        <f t="shared" si="45"/>
        <v/>
      </c>
      <c r="L1008" t="str">
        <f t="shared" si="46"/>
        <v/>
      </c>
      <c r="M1008" t="str">
        <f t="shared" si="47"/>
        <v>2026-04</v>
      </c>
    </row>
    <row r="1009" spans="1:13" x14ac:dyDescent="0.25">
      <c r="A1009" s="1">
        <v>46140</v>
      </c>
      <c r="B1009" t="s">
        <v>27</v>
      </c>
      <c r="C1009" s="2">
        <v>1050</v>
      </c>
      <c r="D1009" t="s">
        <v>89</v>
      </c>
      <c r="E1009" s="16" t="s">
        <v>90</v>
      </c>
      <c r="G1009" s="23">
        <v>46195.511053240742</v>
      </c>
      <c r="I1009" s="7"/>
      <c r="K1009" t="str">
        <f t="shared" si="45"/>
        <v/>
      </c>
      <c r="L1009" t="str">
        <f t="shared" si="46"/>
        <v/>
      </c>
      <c r="M1009" t="str">
        <f t="shared" si="47"/>
        <v>2026-04</v>
      </c>
    </row>
    <row r="1010" spans="1:13" x14ac:dyDescent="0.25">
      <c r="A1010" s="1">
        <v>46142</v>
      </c>
      <c r="B1010" t="s">
        <v>27</v>
      </c>
      <c r="C1010" s="2">
        <v>1050</v>
      </c>
      <c r="D1010" t="s">
        <v>89</v>
      </c>
      <c r="E1010" s="16" t="s">
        <v>90</v>
      </c>
      <c r="G1010" s="23">
        <v>46195.510844907411</v>
      </c>
      <c r="I1010" s="7"/>
      <c r="K1010" t="str">
        <f t="shared" si="45"/>
        <v/>
      </c>
      <c r="L1010" t="str">
        <f t="shared" si="46"/>
        <v/>
      </c>
      <c r="M1010" t="str">
        <f t="shared" si="47"/>
        <v>2026-04</v>
      </c>
    </row>
    <row r="1011" spans="1:13" x14ac:dyDescent="0.25">
      <c r="A1011" s="1">
        <v>46142</v>
      </c>
      <c r="B1011" t="s">
        <v>28</v>
      </c>
      <c r="C1011" s="2">
        <v>6000</v>
      </c>
      <c r="D1011" t="s">
        <v>89</v>
      </c>
      <c r="E1011" s="16" t="s">
        <v>90</v>
      </c>
      <c r="G1011" s="23">
        <v>46195.512812499997</v>
      </c>
      <c r="I1011" s="7"/>
      <c r="K1011" t="str">
        <f t="shared" si="45"/>
        <v/>
      </c>
      <c r="L1011" t="str">
        <f t="shared" si="46"/>
        <v/>
      </c>
      <c r="M1011" t="str">
        <f t="shared" si="47"/>
        <v>2026-04</v>
      </c>
    </row>
    <row r="1012" spans="1:13" x14ac:dyDescent="0.25">
      <c r="A1012" s="1">
        <v>46134</v>
      </c>
      <c r="B1012" t="s">
        <v>24</v>
      </c>
      <c r="C1012" s="2">
        <v>2000</v>
      </c>
      <c r="D1012" t="s">
        <v>89</v>
      </c>
      <c r="E1012" s="16" t="s">
        <v>90</v>
      </c>
      <c r="G1012" s="23">
        <v>46195.506712962961</v>
      </c>
      <c r="I1012" s="7"/>
      <c r="K1012" t="str">
        <f t="shared" si="45"/>
        <v/>
      </c>
      <c r="L1012" t="str">
        <f t="shared" si="46"/>
        <v/>
      </c>
      <c r="M1012" t="str">
        <f t="shared" si="47"/>
        <v>2026-04</v>
      </c>
    </row>
    <row r="1013" spans="1:13" x14ac:dyDescent="0.25">
      <c r="A1013" s="1">
        <v>46121</v>
      </c>
      <c r="B1013" t="s">
        <v>215</v>
      </c>
      <c r="C1013" s="2">
        <v>1000</v>
      </c>
      <c r="D1013" t="s">
        <v>89</v>
      </c>
      <c r="E1013" s="16" t="s">
        <v>90</v>
      </c>
      <c r="G1013" s="23">
        <v>46195.495937500003</v>
      </c>
      <c r="I1013" s="7"/>
      <c r="K1013" t="str">
        <f t="shared" si="45"/>
        <v/>
      </c>
      <c r="L1013" t="str">
        <f t="shared" si="46"/>
        <v/>
      </c>
      <c r="M1013" t="str">
        <f t="shared" si="47"/>
        <v>2026-04</v>
      </c>
    </row>
    <row r="1014" spans="1:13" x14ac:dyDescent="0.25">
      <c r="A1014" s="1">
        <v>46134</v>
      </c>
      <c r="B1014" t="s">
        <v>215</v>
      </c>
      <c r="C1014" s="2">
        <v>1000</v>
      </c>
      <c r="D1014" t="s">
        <v>89</v>
      </c>
      <c r="E1014" s="16" t="s">
        <v>90</v>
      </c>
      <c r="G1014" s="23">
        <v>46195.496331018519</v>
      </c>
      <c r="I1014" s="7"/>
      <c r="K1014" t="str">
        <f t="shared" si="45"/>
        <v/>
      </c>
      <c r="L1014" t="str">
        <f t="shared" si="46"/>
        <v/>
      </c>
      <c r="M1014" t="str">
        <f t="shared" si="47"/>
        <v>2026-04</v>
      </c>
    </row>
    <row r="1015" spans="1:13" x14ac:dyDescent="0.25">
      <c r="A1015" s="1">
        <v>46140</v>
      </c>
      <c r="B1015" t="s">
        <v>215</v>
      </c>
      <c r="C1015" s="2">
        <v>2000</v>
      </c>
      <c r="D1015" t="s">
        <v>89</v>
      </c>
      <c r="E1015" s="16" t="s">
        <v>90</v>
      </c>
      <c r="G1015" s="23">
        <v>46195.496666666666</v>
      </c>
      <c r="I1015" s="7"/>
      <c r="K1015" t="str">
        <f t="shared" si="45"/>
        <v/>
      </c>
      <c r="L1015" t="str">
        <f t="shared" si="46"/>
        <v/>
      </c>
      <c r="M1015" t="str">
        <f t="shared" si="47"/>
        <v>2026-04</v>
      </c>
    </row>
    <row r="1016" spans="1:13" x14ac:dyDescent="0.25">
      <c r="A1016" s="1">
        <v>46125</v>
      </c>
      <c r="B1016" t="s">
        <v>30</v>
      </c>
      <c r="C1016" s="2">
        <v>8500</v>
      </c>
      <c r="D1016" t="s">
        <v>89</v>
      </c>
      <c r="E1016" s="16" t="s">
        <v>90</v>
      </c>
      <c r="G1016" s="23">
        <v>46195.515324074076</v>
      </c>
      <c r="I1016" s="7"/>
      <c r="K1016" t="str">
        <f t="shared" si="45"/>
        <v/>
      </c>
      <c r="L1016" t="str">
        <f t="shared" si="46"/>
        <v/>
      </c>
      <c r="M1016" t="str">
        <f t="shared" si="47"/>
        <v>2026-04</v>
      </c>
    </row>
    <row r="1017" spans="1:13" x14ac:dyDescent="0.25">
      <c r="A1017" s="1">
        <v>46134</v>
      </c>
      <c r="B1017" t="s">
        <v>30</v>
      </c>
      <c r="C1017" s="2">
        <v>8500</v>
      </c>
      <c r="D1017" t="s">
        <v>89</v>
      </c>
      <c r="E1017" s="16" t="s">
        <v>90</v>
      </c>
      <c r="G1017" s="23">
        <v>46195.515092592592</v>
      </c>
      <c r="I1017" s="7"/>
      <c r="K1017" t="str">
        <f t="shared" si="45"/>
        <v/>
      </c>
      <c r="L1017" t="str">
        <f t="shared" si="46"/>
        <v/>
      </c>
      <c r="M1017" t="str">
        <f t="shared" si="47"/>
        <v>2026-04</v>
      </c>
    </row>
    <row r="1018" spans="1:13" ht="14.25" customHeight="1" x14ac:dyDescent="0.25">
      <c r="A1018" s="1">
        <v>46113</v>
      </c>
      <c r="B1018" t="s">
        <v>101</v>
      </c>
      <c r="C1018" s="2">
        <v>2400</v>
      </c>
      <c r="D1018" t="s">
        <v>89</v>
      </c>
      <c r="E1018" s="16" t="s">
        <v>90</v>
      </c>
      <c r="G1018" s="7"/>
      <c r="I1018" s="7"/>
      <c r="K1018" t="str">
        <f t="shared" si="45"/>
        <v/>
      </c>
      <c r="L1018" t="str">
        <f t="shared" si="46"/>
        <v/>
      </c>
      <c r="M1018" t="str">
        <f t="shared" si="47"/>
        <v>2026-04</v>
      </c>
    </row>
    <row r="1019" spans="1:13" ht="14.25" customHeight="1" x14ac:dyDescent="0.25">
      <c r="A1019" s="1">
        <v>46126</v>
      </c>
      <c r="B1019" t="s">
        <v>101</v>
      </c>
      <c r="C1019" s="2">
        <v>1000</v>
      </c>
      <c r="D1019" t="s">
        <v>89</v>
      </c>
      <c r="E1019" s="16" t="s">
        <v>90</v>
      </c>
      <c r="G1019" s="23">
        <v>46195.495069444441</v>
      </c>
      <c r="I1019" s="7"/>
      <c r="K1019" t="str">
        <f t="shared" si="45"/>
        <v/>
      </c>
      <c r="L1019" t="str">
        <f t="shared" si="46"/>
        <v/>
      </c>
      <c r="M1019" t="str">
        <f t="shared" si="47"/>
        <v>2026-04</v>
      </c>
    </row>
    <row r="1020" spans="1:13" ht="14.25" customHeight="1" x14ac:dyDescent="0.25">
      <c r="A1020" s="1">
        <v>46113</v>
      </c>
      <c r="B1020" t="s">
        <v>33</v>
      </c>
      <c r="C1020" s="2">
        <v>10400</v>
      </c>
      <c r="D1020" t="s">
        <v>89</v>
      </c>
      <c r="E1020" s="16" t="s">
        <v>90</v>
      </c>
      <c r="G1020" s="7"/>
      <c r="I1020" s="7"/>
      <c r="K1020" t="str">
        <f t="shared" si="45"/>
        <v/>
      </c>
      <c r="L1020" t="str">
        <f t="shared" si="46"/>
        <v/>
      </c>
      <c r="M1020" t="str">
        <f t="shared" si="47"/>
        <v>2026-04</v>
      </c>
    </row>
    <row r="1021" spans="1:13" ht="14.25" customHeight="1" x14ac:dyDescent="0.25">
      <c r="A1021" s="1">
        <v>46118</v>
      </c>
      <c r="B1021" t="s">
        <v>33</v>
      </c>
      <c r="C1021" s="2">
        <v>10400</v>
      </c>
      <c r="D1021" t="s">
        <v>89</v>
      </c>
      <c r="E1021" s="16" t="s">
        <v>90</v>
      </c>
      <c r="G1021" s="23">
        <v>46195.520891203705</v>
      </c>
      <c r="I1021" s="7"/>
      <c r="K1021" t="str">
        <f t="shared" si="45"/>
        <v/>
      </c>
      <c r="L1021" t="str">
        <f t="shared" si="46"/>
        <v/>
      </c>
      <c r="M1021" t="str">
        <f t="shared" si="47"/>
        <v>2026-04</v>
      </c>
    </row>
    <row r="1022" spans="1:13" ht="14.25" customHeight="1" x14ac:dyDescent="0.25">
      <c r="A1022" s="1">
        <v>46122</v>
      </c>
      <c r="B1022" t="s">
        <v>33</v>
      </c>
      <c r="C1022" s="2">
        <v>10700</v>
      </c>
      <c r="D1022" t="s">
        <v>89</v>
      </c>
      <c r="E1022" s="16" t="s">
        <v>90</v>
      </c>
      <c r="G1022" s="23">
        <v>46195.52071759259</v>
      </c>
      <c r="I1022" s="7"/>
      <c r="K1022" t="str">
        <f t="shared" si="45"/>
        <v/>
      </c>
      <c r="L1022" t="str">
        <f t="shared" si="46"/>
        <v/>
      </c>
      <c r="M1022" t="str">
        <f t="shared" si="47"/>
        <v>2026-04</v>
      </c>
    </row>
    <row r="1023" spans="1:13" ht="14.25" customHeight="1" x14ac:dyDescent="0.25">
      <c r="A1023" s="1">
        <v>46129</v>
      </c>
      <c r="B1023" t="s">
        <v>33</v>
      </c>
      <c r="C1023" s="2">
        <v>10400</v>
      </c>
      <c r="D1023" t="s">
        <v>89</v>
      </c>
      <c r="E1023" s="16" t="s">
        <v>90</v>
      </c>
      <c r="G1023" s="23">
        <v>46195.520520833335</v>
      </c>
      <c r="I1023" s="7"/>
      <c r="K1023" t="str">
        <f t="shared" si="45"/>
        <v/>
      </c>
      <c r="L1023" t="str">
        <f t="shared" si="46"/>
        <v/>
      </c>
      <c r="M1023" t="str">
        <f t="shared" si="47"/>
        <v>2026-04</v>
      </c>
    </row>
    <row r="1024" spans="1:13" ht="14.25" customHeight="1" x14ac:dyDescent="0.25">
      <c r="A1024" s="1">
        <v>46135</v>
      </c>
      <c r="B1024" t="s">
        <v>33</v>
      </c>
      <c r="C1024" s="2">
        <v>10400</v>
      </c>
      <c r="D1024" t="s">
        <v>89</v>
      </c>
      <c r="E1024" s="16" t="s">
        <v>90</v>
      </c>
      <c r="G1024" s="23">
        <v>46195.520358796297</v>
      </c>
      <c r="I1024" s="7"/>
      <c r="K1024" t="str">
        <f t="shared" si="45"/>
        <v/>
      </c>
      <c r="L1024" t="str">
        <f t="shared" si="46"/>
        <v/>
      </c>
      <c r="M1024" t="str">
        <f t="shared" si="47"/>
        <v>2026-04</v>
      </c>
    </row>
    <row r="1025" spans="1:13" ht="14.25" customHeight="1" x14ac:dyDescent="0.25">
      <c r="A1025" s="1">
        <v>46121</v>
      </c>
      <c r="B1025" t="s">
        <v>29</v>
      </c>
      <c r="C1025" s="2">
        <v>1800</v>
      </c>
      <c r="D1025" t="s">
        <v>89</v>
      </c>
      <c r="E1025" s="16" t="s">
        <v>90</v>
      </c>
      <c r="G1025" s="23">
        <v>46195.514560185184</v>
      </c>
      <c r="I1025" s="7"/>
      <c r="K1025" t="str">
        <f t="shared" si="45"/>
        <v/>
      </c>
      <c r="L1025" t="str">
        <f t="shared" si="46"/>
        <v/>
      </c>
      <c r="M1025" t="str">
        <f t="shared" si="47"/>
        <v>2026-04</v>
      </c>
    </row>
    <row r="1026" spans="1:13" ht="14.25" customHeight="1" x14ac:dyDescent="0.25">
      <c r="A1026" s="1">
        <v>46125</v>
      </c>
      <c r="B1026" t="s">
        <v>29</v>
      </c>
      <c r="C1026" s="2">
        <v>1800</v>
      </c>
      <c r="D1026" t="s">
        <v>89</v>
      </c>
      <c r="E1026" s="16" t="s">
        <v>90</v>
      </c>
      <c r="G1026" s="23">
        <v>46195.514421296299</v>
      </c>
      <c r="I1026" s="7"/>
      <c r="K1026" t="str">
        <f t="shared" ref="K1026:K1089" si="48">IF(AND(L1026&lt;&gt;"",C1026&gt;0),L1026/C1026,"")</f>
        <v/>
      </c>
      <c r="L1026" t="str">
        <f t="shared" ref="L1026:L1089" si="49">IF(AND(D1026="FINALIZADO",H1026&lt;&gt;""),VALUE(LEFT(H1026,FIND("h",H1026)-1))*60+VALUE(MID(H1026,FIND("h",H1026)+2,FIND("min",H1026)-FIND("h",H1026)-2)),"")</f>
        <v/>
      </c>
      <c r="M1026" t="str">
        <f t="shared" ref="M1026:M1089" si="50">TEXT(YEAR(A1026),"0000")&amp;"-"&amp;TEXT(MONTH(A1026),"00")</f>
        <v>2026-04</v>
      </c>
    </row>
    <row r="1027" spans="1:13" ht="14.25" customHeight="1" x14ac:dyDescent="0.25">
      <c r="A1027" s="1">
        <v>46127</v>
      </c>
      <c r="B1027" t="s">
        <v>29</v>
      </c>
      <c r="C1027" s="2">
        <v>3600</v>
      </c>
      <c r="D1027" t="s">
        <v>89</v>
      </c>
      <c r="E1027" s="16" t="s">
        <v>90</v>
      </c>
      <c r="G1027" s="23">
        <v>46195.514062499999</v>
      </c>
      <c r="I1027" s="7"/>
      <c r="K1027" t="str">
        <f t="shared" si="48"/>
        <v/>
      </c>
      <c r="L1027" t="str">
        <f t="shared" si="49"/>
        <v/>
      </c>
      <c r="M1027" t="str">
        <f t="shared" si="50"/>
        <v>2026-04</v>
      </c>
    </row>
    <row r="1028" spans="1:13" ht="14.25" customHeight="1" x14ac:dyDescent="0.25">
      <c r="A1028" s="1">
        <v>46140</v>
      </c>
      <c r="B1028" t="s">
        <v>29</v>
      </c>
      <c r="C1028" s="2">
        <v>5400</v>
      </c>
      <c r="D1028" t="s">
        <v>89</v>
      </c>
      <c r="E1028" s="16" t="s">
        <v>90</v>
      </c>
      <c r="G1028" s="23">
        <v>46195.513831018521</v>
      </c>
      <c r="I1028" s="7"/>
      <c r="K1028" t="str">
        <f t="shared" si="48"/>
        <v/>
      </c>
      <c r="L1028" t="str">
        <f t="shared" si="49"/>
        <v/>
      </c>
      <c r="M1028" t="str">
        <f t="shared" si="50"/>
        <v>2026-04</v>
      </c>
    </row>
    <row r="1029" spans="1:13" ht="14.25" customHeight="1" x14ac:dyDescent="0.25">
      <c r="A1029" s="1">
        <v>46142</v>
      </c>
      <c r="B1029" t="s">
        <v>29</v>
      </c>
      <c r="C1029" s="2">
        <v>2700</v>
      </c>
      <c r="D1029" t="s">
        <v>89</v>
      </c>
      <c r="E1029" s="16" t="s">
        <v>90</v>
      </c>
      <c r="G1029" s="23">
        <v>46195.51357638889</v>
      </c>
      <c r="I1029" s="7"/>
      <c r="K1029" t="str">
        <f t="shared" si="48"/>
        <v/>
      </c>
      <c r="L1029" t="str">
        <f t="shared" si="49"/>
        <v/>
      </c>
      <c r="M1029" t="str">
        <f t="shared" si="50"/>
        <v>2026-04</v>
      </c>
    </row>
    <row r="1030" spans="1:13" ht="14.25" customHeight="1" x14ac:dyDescent="0.25">
      <c r="A1030" s="1">
        <v>46113</v>
      </c>
      <c r="B1030" t="s">
        <v>23</v>
      </c>
      <c r="C1030" s="2">
        <v>3750</v>
      </c>
      <c r="D1030" t="s">
        <v>89</v>
      </c>
      <c r="E1030" s="16" t="s">
        <v>90</v>
      </c>
      <c r="G1030" s="23">
        <v>46195.505393518521</v>
      </c>
      <c r="I1030" s="7"/>
      <c r="K1030" t="str">
        <f t="shared" si="48"/>
        <v/>
      </c>
      <c r="L1030" t="str">
        <f t="shared" si="49"/>
        <v/>
      </c>
      <c r="M1030" t="str">
        <f t="shared" si="50"/>
        <v>2026-04</v>
      </c>
    </row>
    <row r="1031" spans="1:13" ht="14.25" customHeight="1" x14ac:dyDescent="0.25">
      <c r="A1031" s="1">
        <v>46113</v>
      </c>
      <c r="B1031" t="s">
        <v>23</v>
      </c>
      <c r="C1031" s="2">
        <v>3750</v>
      </c>
      <c r="D1031" t="s">
        <v>89</v>
      </c>
      <c r="E1031" s="16" t="s">
        <v>90</v>
      </c>
      <c r="G1031" s="7"/>
      <c r="I1031" s="7"/>
      <c r="K1031" t="str">
        <f t="shared" si="48"/>
        <v/>
      </c>
      <c r="L1031" t="str">
        <f t="shared" si="49"/>
        <v/>
      </c>
      <c r="M1031" t="str">
        <f t="shared" si="50"/>
        <v>2026-04</v>
      </c>
    </row>
    <row r="1032" spans="1:13" ht="14.25" customHeight="1" x14ac:dyDescent="0.25">
      <c r="A1032" s="1">
        <v>46128</v>
      </c>
      <c r="B1032" t="s">
        <v>15</v>
      </c>
      <c r="C1032" s="2">
        <v>1100</v>
      </c>
      <c r="D1032" t="s">
        <v>89</v>
      </c>
      <c r="E1032" s="16" t="s">
        <v>90</v>
      </c>
      <c r="G1032" s="23">
        <v>46195.493263888886</v>
      </c>
      <c r="I1032" s="7"/>
      <c r="K1032" t="str">
        <f t="shared" si="48"/>
        <v/>
      </c>
      <c r="L1032" t="str">
        <f t="shared" si="49"/>
        <v/>
      </c>
      <c r="M1032" t="str">
        <f t="shared" si="50"/>
        <v>2026-04</v>
      </c>
    </row>
    <row r="1033" spans="1:13" ht="14.25" customHeight="1" x14ac:dyDescent="0.25">
      <c r="A1033" s="1">
        <v>46132</v>
      </c>
      <c r="B1033" t="s">
        <v>15</v>
      </c>
      <c r="C1033" s="2">
        <v>1100</v>
      </c>
      <c r="D1033" t="s">
        <v>89</v>
      </c>
      <c r="E1033" s="16" t="s">
        <v>90</v>
      </c>
      <c r="G1033" s="23">
        <v>46195.49391203704</v>
      </c>
      <c r="I1033" s="7"/>
      <c r="K1033" t="str">
        <f t="shared" si="48"/>
        <v/>
      </c>
      <c r="L1033" t="str">
        <f t="shared" si="49"/>
        <v/>
      </c>
      <c r="M1033" t="str">
        <f t="shared" si="50"/>
        <v>2026-04</v>
      </c>
    </row>
    <row r="1034" spans="1:13" ht="14.25" customHeight="1" x14ac:dyDescent="0.25">
      <c r="A1034" s="1">
        <v>46142</v>
      </c>
      <c r="B1034" t="s">
        <v>15</v>
      </c>
      <c r="C1034" s="2">
        <v>1100</v>
      </c>
      <c r="D1034" t="s">
        <v>89</v>
      </c>
      <c r="E1034" s="16" t="s">
        <v>90</v>
      </c>
      <c r="G1034" s="23">
        <v>46195.493923611109</v>
      </c>
      <c r="I1034" s="7"/>
      <c r="K1034" t="str">
        <f t="shared" si="48"/>
        <v/>
      </c>
      <c r="L1034" t="str">
        <f t="shared" si="49"/>
        <v/>
      </c>
      <c r="M1034" t="str">
        <f t="shared" si="50"/>
        <v>2026-04</v>
      </c>
    </row>
    <row r="1035" spans="1:13" ht="14.25" customHeight="1" x14ac:dyDescent="0.25">
      <c r="A1035" s="1">
        <v>46119</v>
      </c>
      <c r="B1035" t="s">
        <v>32</v>
      </c>
      <c r="C1035" s="2">
        <v>5500</v>
      </c>
      <c r="D1035" t="s">
        <v>89</v>
      </c>
      <c r="E1035" s="16" t="s">
        <v>90</v>
      </c>
      <c r="G1035" s="23">
        <v>46195.519189814811</v>
      </c>
      <c r="I1035" s="7"/>
      <c r="K1035" t="str">
        <f t="shared" si="48"/>
        <v/>
      </c>
      <c r="L1035" t="str">
        <f t="shared" si="49"/>
        <v/>
      </c>
      <c r="M1035" t="str">
        <f t="shared" si="50"/>
        <v>2026-04</v>
      </c>
    </row>
    <row r="1036" spans="1:13" ht="14.25" customHeight="1" x14ac:dyDescent="0.25">
      <c r="A1036" s="1">
        <v>46120</v>
      </c>
      <c r="B1036" t="s">
        <v>32</v>
      </c>
      <c r="C1036" s="2">
        <v>5500</v>
      </c>
      <c r="D1036" t="s">
        <v>89</v>
      </c>
      <c r="E1036" s="16" t="s">
        <v>90</v>
      </c>
      <c r="G1036" s="23">
        <v>46195.518946759257</v>
      </c>
      <c r="I1036" s="7"/>
      <c r="K1036" t="str">
        <f t="shared" si="48"/>
        <v/>
      </c>
      <c r="L1036" t="str">
        <f t="shared" si="49"/>
        <v/>
      </c>
      <c r="M1036" t="str">
        <f t="shared" si="50"/>
        <v>2026-04</v>
      </c>
    </row>
    <row r="1037" spans="1:13" ht="14.25" customHeight="1" x14ac:dyDescent="0.25">
      <c r="A1037" s="1">
        <v>46126</v>
      </c>
      <c r="B1037" t="s">
        <v>32</v>
      </c>
      <c r="C1037" s="2">
        <v>5000</v>
      </c>
      <c r="D1037" t="s">
        <v>89</v>
      </c>
      <c r="E1037" s="16" t="s">
        <v>90</v>
      </c>
      <c r="G1037" s="23">
        <v>46195.518773148149</v>
      </c>
      <c r="I1037" s="7"/>
      <c r="K1037" t="str">
        <f t="shared" si="48"/>
        <v/>
      </c>
      <c r="L1037" t="str">
        <f t="shared" si="49"/>
        <v/>
      </c>
      <c r="M1037" t="str">
        <f t="shared" si="50"/>
        <v>2026-04</v>
      </c>
    </row>
    <row r="1038" spans="1:13" ht="14.25" customHeight="1" x14ac:dyDescent="0.25">
      <c r="A1038" s="1">
        <v>46128</v>
      </c>
      <c r="B1038" t="s">
        <v>32</v>
      </c>
      <c r="C1038" s="2">
        <v>5000</v>
      </c>
      <c r="D1038" t="s">
        <v>89</v>
      </c>
      <c r="E1038" s="16" t="s">
        <v>90</v>
      </c>
      <c r="G1038" s="23">
        <v>46195.518518518518</v>
      </c>
      <c r="I1038" s="7"/>
      <c r="K1038" t="str">
        <f t="shared" si="48"/>
        <v/>
      </c>
      <c r="L1038" t="str">
        <f t="shared" si="49"/>
        <v/>
      </c>
      <c r="M1038" t="str">
        <f t="shared" si="50"/>
        <v>2026-04</v>
      </c>
    </row>
    <row r="1039" spans="1:13" ht="14.25" customHeight="1" x14ac:dyDescent="0.25">
      <c r="A1039" s="1">
        <v>46134</v>
      </c>
      <c r="B1039" t="s">
        <v>32</v>
      </c>
      <c r="C1039" s="2">
        <v>5000</v>
      </c>
      <c r="D1039" t="s">
        <v>89</v>
      </c>
      <c r="E1039" s="16" t="s">
        <v>90</v>
      </c>
      <c r="G1039" s="23">
        <v>46195.518194444441</v>
      </c>
      <c r="I1039" s="7"/>
      <c r="K1039" t="str">
        <f t="shared" si="48"/>
        <v/>
      </c>
      <c r="L1039" t="str">
        <f t="shared" si="49"/>
        <v/>
      </c>
      <c r="M1039" t="str">
        <f t="shared" si="50"/>
        <v>2026-04</v>
      </c>
    </row>
    <row r="1040" spans="1:13" ht="14.25" customHeight="1" x14ac:dyDescent="0.25">
      <c r="A1040" s="1">
        <v>46139</v>
      </c>
      <c r="B1040" t="s">
        <v>32</v>
      </c>
      <c r="C1040" s="2">
        <v>11000</v>
      </c>
      <c r="D1040" t="s">
        <v>89</v>
      </c>
      <c r="E1040" s="16" t="s">
        <v>90</v>
      </c>
      <c r="G1040" s="23">
        <v>46195.517951388887</v>
      </c>
      <c r="I1040" s="7"/>
      <c r="K1040" t="str">
        <f t="shared" si="48"/>
        <v/>
      </c>
      <c r="L1040" t="str">
        <f t="shared" si="49"/>
        <v/>
      </c>
      <c r="M1040" t="str">
        <f t="shared" si="50"/>
        <v>2026-04</v>
      </c>
    </row>
    <row r="1041" spans="1:13" ht="14.25" customHeight="1" x14ac:dyDescent="0.25">
      <c r="A1041" s="1">
        <v>46141</v>
      </c>
      <c r="B1041" t="s">
        <v>32</v>
      </c>
      <c r="C1041" s="2">
        <v>6000</v>
      </c>
      <c r="D1041" t="s">
        <v>89</v>
      </c>
      <c r="E1041" s="16" t="s">
        <v>90</v>
      </c>
      <c r="G1041" s="23">
        <v>46195.517754629633</v>
      </c>
      <c r="I1041" s="7"/>
      <c r="K1041" t="str">
        <f t="shared" si="48"/>
        <v/>
      </c>
      <c r="L1041" t="str">
        <f t="shared" si="49"/>
        <v/>
      </c>
      <c r="M1041" t="str">
        <f t="shared" si="50"/>
        <v>2026-04</v>
      </c>
    </row>
    <row r="1042" spans="1:13" ht="14.25" customHeight="1" x14ac:dyDescent="0.25">
      <c r="A1042" s="1">
        <v>46113</v>
      </c>
      <c r="B1042" t="s">
        <v>35</v>
      </c>
      <c r="C1042" s="2">
        <v>10000</v>
      </c>
      <c r="D1042" t="s">
        <v>89</v>
      </c>
      <c r="E1042" s="16" t="s">
        <v>90</v>
      </c>
      <c r="G1042" s="7"/>
      <c r="I1042" s="7"/>
      <c r="K1042" t="str">
        <f t="shared" si="48"/>
        <v/>
      </c>
      <c r="L1042" t="str">
        <f t="shared" si="49"/>
        <v/>
      </c>
      <c r="M1042" t="str">
        <f t="shared" si="50"/>
        <v>2026-04</v>
      </c>
    </row>
    <row r="1043" spans="1:13" ht="14.25" customHeight="1" x14ac:dyDescent="0.25">
      <c r="A1043" s="1">
        <v>46118</v>
      </c>
      <c r="B1043" t="s">
        <v>35</v>
      </c>
      <c r="C1043" s="2">
        <v>9700</v>
      </c>
      <c r="D1043" t="s">
        <v>89</v>
      </c>
      <c r="E1043" s="16" t="s">
        <v>90</v>
      </c>
      <c r="G1043" s="23">
        <v>46195.548738425925</v>
      </c>
      <c r="I1043" s="7"/>
      <c r="K1043" t="str">
        <f t="shared" si="48"/>
        <v/>
      </c>
      <c r="L1043" t="str">
        <f t="shared" si="49"/>
        <v/>
      </c>
      <c r="M1043" t="str">
        <f t="shared" si="50"/>
        <v>2026-04</v>
      </c>
    </row>
    <row r="1044" spans="1:13" ht="14.25" customHeight="1" x14ac:dyDescent="0.25">
      <c r="A1044" s="1">
        <v>46120</v>
      </c>
      <c r="B1044" t="s">
        <v>35</v>
      </c>
      <c r="C1044" s="2">
        <v>10000</v>
      </c>
      <c r="D1044" t="s">
        <v>89</v>
      </c>
      <c r="E1044" s="16" t="s">
        <v>90</v>
      </c>
      <c r="G1044" s="23">
        <v>46195.548472222225</v>
      </c>
      <c r="I1044" s="7"/>
      <c r="K1044" t="str">
        <f t="shared" si="48"/>
        <v/>
      </c>
      <c r="L1044" t="str">
        <f t="shared" si="49"/>
        <v/>
      </c>
      <c r="M1044" t="str">
        <f t="shared" si="50"/>
        <v>2026-04</v>
      </c>
    </row>
    <row r="1045" spans="1:13" ht="14.25" customHeight="1" x14ac:dyDescent="0.25">
      <c r="A1045" s="1">
        <v>46121</v>
      </c>
      <c r="B1045" t="s">
        <v>35</v>
      </c>
      <c r="C1045" s="2">
        <v>10000</v>
      </c>
      <c r="D1045" t="s">
        <v>89</v>
      </c>
      <c r="E1045" s="16" t="s">
        <v>90</v>
      </c>
      <c r="G1045" s="23">
        <v>46195.54828703704</v>
      </c>
      <c r="I1045" s="7"/>
      <c r="K1045" t="str">
        <f t="shared" si="48"/>
        <v/>
      </c>
      <c r="L1045" t="str">
        <f t="shared" si="49"/>
        <v/>
      </c>
      <c r="M1045" t="str">
        <f t="shared" si="50"/>
        <v>2026-04</v>
      </c>
    </row>
    <row r="1046" spans="1:13" ht="14.25" customHeight="1" x14ac:dyDescent="0.25">
      <c r="A1046" s="1">
        <v>46122</v>
      </c>
      <c r="B1046" t="s">
        <v>35</v>
      </c>
      <c r="C1046" s="2">
        <v>10000</v>
      </c>
      <c r="D1046" t="s">
        <v>89</v>
      </c>
      <c r="E1046" s="16" t="s">
        <v>90</v>
      </c>
      <c r="G1046" s="23">
        <v>46195.547951388886</v>
      </c>
      <c r="I1046" s="7"/>
      <c r="K1046" t="str">
        <f t="shared" si="48"/>
        <v/>
      </c>
      <c r="L1046" t="str">
        <f t="shared" si="49"/>
        <v/>
      </c>
      <c r="M1046" t="str">
        <f t="shared" si="50"/>
        <v>2026-04</v>
      </c>
    </row>
    <row r="1047" spans="1:13" ht="14.25" customHeight="1" x14ac:dyDescent="0.25">
      <c r="A1047" s="1">
        <v>46122</v>
      </c>
      <c r="B1047" t="s">
        <v>35</v>
      </c>
      <c r="C1047" s="2">
        <v>8500</v>
      </c>
      <c r="D1047" t="s">
        <v>89</v>
      </c>
      <c r="E1047" s="16" t="s">
        <v>90</v>
      </c>
      <c r="G1047" s="23">
        <v>46195.548113425924</v>
      </c>
      <c r="I1047" s="7"/>
      <c r="K1047" t="str">
        <f t="shared" si="48"/>
        <v/>
      </c>
      <c r="L1047" t="str">
        <f t="shared" si="49"/>
        <v/>
      </c>
      <c r="M1047" t="str">
        <f t="shared" si="50"/>
        <v>2026-04</v>
      </c>
    </row>
    <row r="1048" spans="1:13" ht="14.25" customHeight="1" x14ac:dyDescent="0.25">
      <c r="A1048" s="1">
        <v>46127</v>
      </c>
      <c r="B1048" t="s">
        <v>35</v>
      </c>
      <c r="C1048" s="2">
        <v>10000</v>
      </c>
      <c r="D1048" t="s">
        <v>89</v>
      </c>
      <c r="E1048" s="16" t="s">
        <v>90</v>
      </c>
      <c r="G1048" s="23">
        <v>46195.547662037039</v>
      </c>
      <c r="I1048" s="7"/>
      <c r="K1048" t="str">
        <f t="shared" si="48"/>
        <v/>
      </c>
      <c r="L1048" t="str">
        <f t="shared" si="49"/>
        <v/>
      </c>
      <c r="M1048" t="str">
        <f t="shared" si="50"/>
        <v>2026-04</v>
      </c>
    </row>
    <row r="1049" spans="1:13" ht="14.25" customHeight="1" x14ac:dyDescent="0.25">
      <c r="A1049" s="1">
        <v>46129</v>
      </c>
      <c r="B1049" t="s">
        <v>35</v>
      </c>
      <c r="C1049" s="2">
        <v>10000</v>
      </c>
      <c r="D1049" t="s">
        <v>89</v>
      </c>
      <c r="E1049" s="16" t="s">
        <v>90</v>
      </c>
      <c r="G1049" s="23">
        <v>46195.547511574077</v>
      </c>
      <c r="I1049" s="7"/>
      <c r="K1049" t="str">
        <f t="shared" si="48"/>
        <v/>
      </c>
      <c r="L1049" t="str">
        <f t="shared" si="49"/>
        <v/>
      </c>
      <c r="M1049" t="str">
        <f t="shared" si="50"/>
        <v>2026-04</v>
      </c>
    </row>
    <row r="1050" spans="1:13" ht="14.25" customHeight="1" x14ac:dyDescent="0.25">
      <c r="A1050" s="1">
        <v>46136</v>
      </c>
      <c r="B1050" t="s">
        <v>35</v>
      </c>
      <c r="C1050" s="2">
        <v>10000</v>
      </c>
      <c r="D1050" t="s">
        <v>89</v>
      </c>
      <c r="E1050" s="16" t="s">
        <v>90</v>
      </c>
      <c r="G1050" s="23">
        <v>46195.54724537037</v>
      </c>
      <c r="I1050" s="7"/>
      <c r="K1050" t="str">
        <f t="shared" si="48"/>
        <v/>
      </c>
      <c r="L1050" t="str">
        <f t="shared" si="49"/>
        <v/>
      </c>
      <c r="M1050" t="str">
        <f t="shared" si="50"/>
        <v>2026-04</v>
      </c>
    </row>
    <row r="1051" spans="1:13" ht="14.25" customHeight="1" x14ac:dyDescent="0.25">
      <c r="A1051" s="1">
        <v>46139</v>
      </c>
      <c r="B1051" t="s">
        <v>35</v>
      </c>
      <c r="C1051" s="2">
        <v>10000</v>
      </c>
      <c r="D1051" t="s">
        <v>89</v>
      </c>
      <c r="E1051" s="16" t="s">
        <v>90</v>
      </c>
      <c r="G1051" s="23">
        <v>46195.547060185185</v>
      </c>
      <c r="I1051" s="7"/>
      <c r="K1051" t="str">
        <f t="shared" si="48"/>
        <v/>
      </c>
      <c r="L1051" t="str">
        <f t="shared" si="49"/>
        <v/>
      </c>
      <c r="M1051" t="str">
        <f t="shared" si="50"/>
        <v>2026-04</v>
      </c>
    </row>
    <row r="1052" spans="1:13" ht="14.25" customHeight="1" x14ac:dyDescent="0.25">
      <c r="A1052" s="1">
        <v>46118</v>
      </c>
      <c r="B1052" t="s">
        <v>31</v>
      </c>
      <c r="C1052" s="2">
        <v>5000</v>
      </c>
      <c r="D1052" t="s">
        <v>89</v>
      </c>
      <c r="E1052" s="16" t="s">
        <v>90</v>
      </c>
      <c r="G1052" s="23">
        <v>46195.517210648148</v>
      </c>
      <c r="I1052" s="7"/>
      <c r="K1052" t="str">
        <f t="shared" si="48"/>
        <v/>
      </c>
      <c r="L1052" t="str">
        <f t="shared" si="49"/>
        <v/>
      </c>
      <c r="M1052" t="str">
        <f t="shared" si="50"/>
        <v>2026-04</v>
      </c>
    </row>
    <row r="1053" spans="1:13" ht="14.25" customHeight="1" x14ac:dyDescent="0.25">
      <c r="A1053" s="1">
        <v>46127</v>
      </c>
      <c r="B1053" t="s">
        <v>31</v>
      </c>
      <c r="C1053" s="2">
        <v>10000</v>
      </c>
      <c r="D1053" t="s">
        <v>89</v>
      </c>
      <c r="E1053" s="16" t="s">
        <v>90</v>
      </c>
      <c r="G1053" s="23">
        <v>46195.516805555555</v>
      </c>
      <c r="I1053" s="7"/>
      <c r="K1053" t="str">
        <f t="shared" si="48"/>
        <v/>
      </c>
      <c r="L1053" t="str">
        <f t="shared" si="49"/>
        <v/>
      </c>
      <c r="M1053" t="str">
        <f t="shared" si="50"/>
        <v>2026-04</v>
      </c>
    </row>
    <row r="1054" spans="1:13" ht="14.25" customHeight="1" x14ac:dyDescent="0.25">
      <c r="A1054" s="1">
        <v>46128</v>
      </c>
      <c r="B1054" t="s">
        <v>31</v>
      </c>
      <c r="C1054" s="2">
        <v>10000</v>
      </c>
      <c r="D1054" t="s">
        <v>89</v>
      </c>
      <c r="E1054" s="16" t="s">
        <v>90</v>
      </c>
      <c r="G1054" s="23">
        <v>46195.516539351855</v>
      </c>
      <c r="I1054" s="7"/>
      <c r="K1054" t="str">
        <f t="shared" si="48"/>
        <v/>
      </c>
      <c r="L1054" t="str">
        <f t="shared" si="49"/>
        <v/>
      </c>
      <c r="M1054" t="str">
        <f t="shared" si="50"/>
        <v>2026-04</v>
      </c>
    </row>
    <row r="1055" spans="1:13" ht="14.25" customHeight="1" x14ac:dyDescent="0.25">
      <c r="A1055" s="1">
        <v>46129</v>
      </c>
      <c r="B1055" t="s">
        <v>31</v>
      </c>
      <c r="C1055" s="2">
        <v>10000</v>
      </c>
      <c r="D1055" t="s">
        <v>89</v>
      </c>
      <c r="E1055" s="16" t="s">
        <v>90</v>
      </c>
      <c r="G1055" s="23">
        <v>46195.516192129631</v>
      </c>
      <c r="I1055" s="7"/>
      <c r="K1055" t="str">
        <f t="shared" si="48"/>
        <v/>
      </c>
      <c r="L1055" t="str">
        <f t="shared" si="49"/>
        <v/>
      </c>
      <c r="M1055" t="str">
        <f t="shared" si="50"/>
        <v>2026-04</v>
      </c>
    </row>
    <row r="1056" spans="1:13" ht="14.25" customHeight="1" x14ac:dyDescent="0.25">
      <c r="A1056" s="1">
        <v>46125</v>
      </c>
      <c r="B1056" t="s">
        <v>26</v>
      </c>
      <c r="C1056" s="2">
        <v>1050</v>
      </c>
      <c r="D1056" t="s">
        <v>89</v>
      </c>
      <c r="E1056" s="16" t="s">
        <v>90</v>
      </c>
      <c r="G1056" s="23">
        <v>46195.509363425925</v>
      </c>
      <c r="I1056" s="7"/>
      <c r="K1056" t="str">
        <f t="shared" si="48"/>
        <v/>
      </c>
      <c r="L1056" t="str">
        <f t="shared" si="49"/>
        <v/>
      </c>
      <c r="M1056" t="str">
        <f t="shared" si="50"/>
        <v>2026-04</v>
      </c>
    </row>
    <row r="1057" spans="1:13" ht="14.25" customHeight="1" x14ac:dyDescent="0.25">
      <c r="A1057" s="1">
        <v>46113</v>
      </c>
      <c r="B1057" t="s">
        <v>34</v>
      </c>
      <c r="C1057" s="2">
        <v>10000</v>
      </c>
      <c r="D1057" t="s">
        <v>89</v>
      </c>
      <c r="E1057" s="16" t="s">
        <v>90</v>
      </c>
      <c r="G1057" s="7"/>
      <c r="I1057" s="7"/>
      <c r="K1057" t="str">
        <f t="shared" si="48"/>
        <v/>
      </c>
      <c r="L1057" t="str">
        <f t="shared" si="49"/>
        <v/>
      </c>
      <c r="M1057" t="str">
        <f t="shared" si="50"/>
        <v>2026-04</v>
      </c>
    </row>
    <row r="1058" spans="1:13" ht="14.25" customHeight="1" x14ac:dyDescent="0.25">
      <c r="A1058" s="1">
        <v>46121</v>
      </c>
      <c r="B1058" t="s">
        <v>34</v>
      </c>
      <c r="C1058" s="2">
        <v>10000</v>
      </c>
      <c r="D1058" t="s">
        <v>89</v>
      </c>
      <c r="E1058" s="16" t="s">
        <v>90</v>
      </c>
      <c r="G1058" s="23">
        <v>46195.523726851854</v>
      </c>
      <c r="I1058" s="7"/>
      <c r="K1058" t="str">
        <f t="shared" si="48"/>
        <v/>
      </c>
      <c r="L1058" t="str">
        <f t="shared" si="49"/>
        <v/>
      </c>
      <c r="M1058" t="str">
        <f t="shared" si="50"/>
        <v>2026-04</v>
      </c>
    </row>
    <row r="1059" spans="1:13" ht="14.25" customHeight="1" x14ac:dyDescent="0.25">
      <c r="A1059" s="1">
        <v>46121</v>
      </c>
      <c r="B1059" t="s">
        <v>34</v>
      </c>
      <c r="C1059" s="2">
        <v>10000</v>
      </c>
      <c r="D1059" t="s">
        <v>89</v>
      </c>
      <c r="E1059" s="16" t="s">
        <v>90</v>
      </c>
      <c r="G1059" s="23">
        <v>46195.523912037039</v>
      </c>
      <c r="I1059" s="7"/>
      <c r="K1059" t="str">
        <f t="shared" si="48"/>
        <v/>
      </c>
      <c r="L1059" t="str">
        <f t="shared" si="49"/>
        <v/>
      </c>
      <c r="M1059" t="str">
        <f t="shared" si="50"/>
        <v>2026-04</v>
      </c>
    </row>
    <row r="1060" spans="1:13" ht="14.25" customHeight="1" x14ac:dyDescent="0.25">
      <c r="A1060" s="1">
        <v>46125</v>
      </c>
      <c r="B1060" t="s">
        <v>34</v>
      </c>
      <c r="C1060" s="2">
        <v>8750</v>
      </c>
      <c r="D1060" t="s">
        <v>89</v>
      </c>
      <c r="E1060" s="16" t="s">
        <v>90</v>
      </c>
      <c r="G1060" s="23">
        <v>46195.523553240739</v>
      </c>
      <c r="I1060" s="7"/>
      <c r="K1060" t="str">
        <f t="shared" si="48"/>
        <v/>
      </c>
      <c r="L1060" t="str">
        <f t="shared" si="49"/>
        <v/>
      </c>
      <c r="M1060" t="str">
        <f t="shared" si="50"/>
        <v>2026-04</v>
      </c>
    </row>
    <row r="1061" spans="1:13" ht="14.25" customHeight="1" x14ac:dyDescent="0.25">
      <c r="A1061" s="1">
        <v>46132</v>
      </c>
      <c r="B1061" t="s">
        <v>34</v>
      </c>
      <c r="C1061" s="2">
        <v>10000</v>
      </c>
      <c r="D1061" t="s">
        <v>89</v>
      </c>
      <c r="E1061" s="16" t="s">
        <v>90</v>
      </c>
      <c r="G1061" s="23">
        <v>46195.5231712963</v>
      </c>
      <c r="I1061" s="7"/>
      <c r="K1061" t="str">
        <f t="shared" si="48"/>
        <v/>
      </c>
      <c r="L1061" t="str">
        <f t="shared" si="49"/>
        <v/>
      </c>
      <c r="M1061" t="str">
        <f t="shared" si="50"/>
        <v>2026-04</v>
      </c>
    </row>
    <row r="1062" spans="1:13" ht="14.25" customHeight="1" x14ac:dyDescent="0.25">
      <c r="A1062" s="1">
        <v>46135</v>
      </c>
      <c r="B1062" t="s">
        <v>34</v>
      </c>
      <c r="C1062" s="2">
        <v>10000</v>
      </c>
      <c r="D1062" t="s">
        <v>89</v>
      </c>
      <c r="E1062" s="16" t="s">
        <v>90</v>
      </c>
      <c r="G1062" s="23">
        <v>46195.522476851853</v>
      </c>
      <c r="I1062" s="7"/>
      <c r="K1062" t="str">
        <f t="shared" si="48"/>
        <v/>
      </c>
      <c r="L1062" t="str">
        <f t="shared" si="49"/>
        <v/>
      </c>
      <c r="M1062" t="str">
        <f t="shared" si="50"/>
        <v>2026-04</v>
      </c>
    </row>
    <row r="1063" spans="1:13" ht="14.25" customHeight="1" x14ac:dyDescent="0.25">
      <c r="A1063" s="1">
        <v>46136</v>
      </c>
      <c r="B1063" t="s">
        <v>34</v>
      </c>
      <c r="C1063" s="2">
        <v>10000</v>
      </c>
      <c r="D1063" t="s">
        <v>89</v>
      </c>
      <c r="E1063" s="16" t="s">
        <v>90</v>
      </c>
      <c r="G1063" s="23">
        <v>46195.522280092591</v>
      </c>
      <c r="I1063" s="7"/>
      <c r="K1063" t="str">
        <f t="shared" si="48"/>
        <v/>
      </c>
      <c r="L1063" t="str">
        <f t="shared" si="49"/>
        <v/>
      </c>
      <c r="M1063" t="str">
        <f t="shared" si="50"/>
        <v>2026-04</v>
      </c>
    </row>
    <row r="1064" spans="1:13" ht="14.25" customHeight="1" x14ac:dyDescent="0.25">
      <c r="A1064" s="1">
        <v>46141</v>
      </c>
      <c r="B1064" t="s">
        <v>34</v>
      </c>
      <c r="C1064" s="2">
        <v>10000</v>
      </c>
      <c r="D1064" t="s">
        <v>89</v>
      </c>
      <c r="E1064" s="16" t="s">
        <v>90</v>
      </c>
      <c r="G1064" s="23">
        <v>46195.521979166668</v>
      </c>
      <c r="I1064" s="7"/>
      <c r="K1064" t="str">
        <f t="shared" si="48"/>
        <v/>
      </c>
      <c r="L1064" t="str">
        <f t="shared" si="49"/>
        <v/>
      </c>
      <c r="M1064" t="str">
        <f t="shared" si="50"/>
        <v>2026-04</v>
      </c>
    </row>
    <row r="1065" spans="1:13" ht="14.25" customHeight="1" x14ac:dyDescent="0.25">
      <c r="A1065" s="1">
        <v>46141</v>
      </c>
      <c r="B1065" t="s">
        <v>34</v>
      </c>
      <c r="C1065" s="2">
        <v>10000</v>
      </c>
      <c r="D1065" t="s">
        <v>89</v>
      </c>
      <c r="E1065" s="16" t="s">
        <v>90</v>
      </c>
      <c r="G1065" s="23">
        <v>46195.522060185183</v>
      </c>
      <c r="I1065" s="7"/>
      <c r="K1065" t="str">
        <f t="shared" si="48"/>
        <v/>
      </c>
      <c r="L1065" t="str">
        <f t="shared" si="49"/>
        <v/>
      </c>
      <c r="M1065" t="str">
        <f t="shared" si="50"/>
        <v>2026-04</v>
      </c>
    </row>
    <row r="1066" spans="1:13" ht="14.25" customHeight="1" x14ac:dyDescent="0.25">
      <c r="A1066" s="1">
        <v>46126</v>
      </c>
      <c r="B1066" t="s">
        <v>218</v>
      </c>
      <c r="C1066" s="2">
        <v>1000</v>
      </c>
      <c r="D1066" t="s">
        <v>89</v>
      </c>
      <c r="E1066" s="16" t="s">
        <v>90</v>
      </c>
      <c r="G1066" s="23">
        <v>46195.492152777777</v>
      </c>
      <c r="I1066" s="7"/>
      <c r="K1066" t="str">
        <f t="shared" si="48"/>
        <v/>
      </c>
      <c r="L1066" t="str">
        <f t="shared" si="49"/>
        <v/>
      </c>
      <c r="M1066" t="str">
        <f t="shared" si="50"/>
        <v>2026-04</v>
      </c>
    </row>
    <row r="1067" spans="1:13" ht="14.25" customHeight="1" x14ac:dyDescent="0.25">
      <c r="A1067" s="1">
        <v>46125</v>
      </c>
      <c r="B1067" t="s">
        <v>25</v>
      </c>
      <c r="C1067" s="2">
        <v>3500</v>
      </c>
      <c r="D1067" t="s">
        <v>89</v>
      </c>
      <c r="E1067" s="16" t="s">
        <v>90</v>
      </c>
      <c r="G1067" s="23">
        <v>46195.507511574076</v>
      </c>
      <c r="I1067" s="7"/>
      <c r="K1067" t="str">
        <f t="shared" si="48"/>
        <v/>
      </c>
      <c r="L1067" t="str">
        <f t="shared" si="49"/>
        <v/>
      </c>
      <c r="M1067" t="str">
        <f t="shared" si="50"/>
        <v>2026-04</v>
      </c>
    </row>
    <row r="1068" spans="1:13" ht="14.25" customHeight="1" x14ac:dyDescent="0.25">
      <c r="A1068" s="1">
        <v>46134</v>
      </c>
      <c r="B1068" t="s">
        <v>25</v>
      </c>
      <c r="C1068" s="2">
        <v>2000</v>
      </c>
      <c r="D1068" t="s">
        <v>89</v>
      </c>
      <c r="E1068" s="16" t="s">
        <v>90</v>
      </c>
      <c r="G1068" s="23">
        <v>46195.507881944446</v>
      </c>
      <c r="I1068" s="7"/>
      <c r="K1068" t="str">
        <f t="shared" si="48"/>
        <v/>
      </c>
      <c r="L1068" t="str">
        <f t="shared" si="49"/>
        <v/>
      </c>
      <c r="M1068" t="str">
        <f t="shared" si="50"/>
        <v>2026-04</v>
      </c>
    </row>
    <row r="1069" spans="1:13" ht="14.25" customHeight="1" x14ac:dyDescent="0.25">
      <c r="A1069" s="1">
        <v>46139</v>
      </c>
      <c r="B1069" t="s">
        <v>25</v>
      </c>
      <c r="C1069" s="2">
        <v>3000</v>
      </c>
      <c r="D1069" t="s">
        <v>89</v>
      </c>
      <c r="E1069" s="16" t="s">
        <v>90</v>
      </c>
      <c r="G1069" s="23">
        <v>46195.508194444446</v>
      </c>
      <c r="I1069" s="7"/>
      <c r="K1069" t="str">
        <f t="shared" si="48"/>
        <v/>
      </c>
      <c r="L1069" t="str">
        <f t="shared" si="49"/>
        <v/>
      </c>
      <c r="M1069" t="str">
        <f t="shared" si="50"/>
        <v>2026-04</v>
      </c>
    </row>
    <row r="1070" spans="1:13" ht="14.25" customHeight="1" x14ac:dyDescent="0.25">
      <c r="A1070" s="1">
        <v>46140</v>
      </c>
      <c r="B1070" t="s">
        <v>25</v>
      </c>
      <c r="C1070" s="2">
        <v>1600</v>
      </c>
      <c r="D1070" t="s">
        <v>89</v>
      </c>
      <c r="E1070" s="16" t="s">
        <v>90</v>
      </c>
      <c r="G1070" s="23">
        <v>46195.508414351854</v>
      </c>
      <c r="I1070" s="7"/>
      <c r="K1070" t="str">
        <f t="shared" si="48"/>
        <v/>
      </c>
      <c r="L1070" t="str">
        <f t="shared" si="49"/>
        <v/>
      </c>
      <c r="M1070" t="str">
        <f t="shared" si="50"/>
        <v>2026-04</v>
      </c>
    </row>
    <row r="1071" spans="1:13" ht="14.25" customHeight="1" x14ac:dyDescent="0.25">
      <c r="A1071" s="1">
        <v>46121</v>
      </c>
      <c r="B1071" t="s">
        <v>22</v>
      </c>
      <c r="C1071" s="2">
        <v>1100</v>
      </c>
      <c r="D1071" t="s">
        <v>89</v>
      </c>
      <c r="E1071" s="16" t="s">
        <v>90</v>
      </c>
      <c r="G1071" s="23">
        <v>46195.497824074075</v>
      </c>
      <c r="I1071" s="7"/>
      <c r="K1071" t="str">
        <f t="shared" si="48"/>
        <v/>
      </c>
      <c r="L1071" t="str">
        <f t="shared" si="49"/>
        <v/>
      </c>
      <c r="M1071" t="str">
        <f t="shared" si="50"/>
        <v>2026-04</v>
      </c>
    </row>
    <row r="1072" spans="1:13" ht="14.25" customHeight="1" x14ac:dyDescent="0.25">
      <c r="A1072" s="1">
        <v>46146</v>
      </c>
      <c r="B1072" t="s">
        <v>27</v>
      </c>
      <c r="C1072" s="2">
        <v>1050</v>
      </c>
      <c r="D1072" t="s">
        <v>89</v>
      </c>
      <c r="E1072" s="16" t="s">
        <v>90</v>
      </c>
      <c r="G1072" s="23">
        <v>46195.509965277779</v>
      </c>
      <c r="I1072" s="7"/>
      <c r="K1072" t="str">
        <f t="shared" si="48"/>
        <v/>
      </c>
      <c r="L1072" t="str">
        <f t="shared" si="49"/>
        <v/>
      </c>
      <c r="M1072" t="str">
        <f t="shared" si="50"/>
        <v>2026-05</v>
      </c>
    </row>
    <row r="1073" spans="1:13" ht="14.25" customHeight="1" x14ac:dyDescent="0.25">
      <c r="A1073" s="1">
        <v>46147</v>
      </c>
      <c r="B1073" t="s">
        <v>12</v>
      </c>
      <c r="C1073" s="2">
        <v>2000</v>
      </c>
      <c r="D1073" t="s">
        <v>89</v>
      </c>
      <c r="E1073" s="16" t="s">
        <v>90</v>
      </c>
      <c r="G1073" s="23">
        <v>46195.490844907406</v>
      </c>
      <c r="I1073" s="7"/>
      <c r="K1073" t="str">
        <f t="shared" si="48"/>
        <v/>
      </c>
      <c r="L1073" t="str">
        <f t="shared" si="49"/>
        <v/>
      </c>
      <c r="M1073" t="str">
        <f t="shared" si="50"/>
        <v>2026-05</v>
      </c>
    </row>
    <row r="1074" spans="1:13" ht="14.25" customHeight="1" x14ac:dyDescent="0.25">
      <c r="A1074" s="1">
        <v>46148</v>
      </c>
      <c r="B1074" t="s">
        <v>23</v>
      </c>
      <c r="C1074" s="2">
        <v>3750</v>
      </c>
      <c r="D1074" t="s">
        <v>89</v>
      </c>
      <c r="E1074" s="16" t="s">
        <v>90</v>
      </c>
      <c r="G1074" s="23">
        <v>46195.505937499998</v>
      </c>
      <c r="I1074" s="7"/>
      <c r="K1074" t="str">
        <f t="shared" si="48"/>
        <v/>
      </c>
      <c r="L1074" t="str">
        <f t="shared" si="49"/>
        <v/>
      </c>
      <c r="M1074" t="str">
        <f t="shared" si="50"/>
        <v>2026-05</v>
      </c>
    </row>
    <row r="1075" spans="1:13" ht="14.25" customHeight="1" x14ac:dyDescent="0.25">
      <c r="A1075" s="1">
        <v>46148</v>
      </c>
      <c r="B1075" t="s">
        <v>34</v>
      </c>
      <c r="C1075" s="2">
        <v>10000</v>
      </c>
      <c r="D1075" t="s">
        <v>89</v>
      </c>
      <c r="E1075" s="16" t="s">
        <v>90</v>
      </c>
      <c r="G1075" s="23">
        <v>46195.521689814814</v>
      </c>
      <c r="I1075" s="7"/>
      <c r="K1075" t="str">
        <f t="shared" si="48"/>
        <v/>
      </c>
      <c r="L1075" t="str">
        <f t="shared" si="49"/>
        <v/>
      </c>
      <c r="M1075" t="str">
        <f t="shared" si="50"/>
        <v>2026-05</v>
      </c>
    </row>
    <row r="1076" spans="1:13" ht="14.25" customHeight="1" x14ac:dyDescent="0.25">
      <c r="A1076" s="1">
        <v>46148</v>
      </c>
      <c r="B1076" t="s">
        <v>35</v>
      </c>
      <c r="C1076" s="2">
        <v>9450</v>
      </c>
      <c r="D1076" t="s">
        <v>89</v>
      </c>
      <c r="E1076" s="16" t="s">
        <v>90</v>
      </c>
      <c r="G1076" s="23">
        <v>46195.546886574077</v>
      </c>
      <c r="I1076" s="7"/>
      <c r="K1076" t="str">
        <f t="shared" si="48"/>
        <v/>
      </c>
      <c r="L1076" t="str">
        <f t="shared" si="49"/>
        <v/>
      </c>
      <c r="M1076" t="str">
        <f t="shared" si="50"/>
        <v>2026-05</v>
      </c>
    </row>
    <row r="1077" spans="1:13" x14ac:dyDescent="0.25">
      <c r="A1077" s="1">
        <v>46149</v>
      </c>
      <c r="B1077" t="s">
        <v>33</v>
      </c>
      <c r="C1077" s="2">
        <v>10500</v>
      </c>
      <c r="D1077" t="s">
        <v>89</v>
      </c>
      <c r="E1077" s="16" t="s">
        <v>90</v>
      </c>
      <c r="G1077" s="23">
        <v>46195.519918981481</v>
      </c>
      <c r="I1077" s="7"/>
      <c r="K1077" t="str">
        <f t="shared" si="48"/>
        <v/>
      </c>
      <c r="L1077" t="str">
        <f t="shared" si="49"/>
        <v/>
      </c>
      <c r="M1077" t="str">
        <f t="shared" si="50"/>
        <v>2026-05</v>
      </c>
    </row>
    <row r="1078" spans="1:13" x14ac:dyDescent="0.25">
      <c r="A1078" s="1">
        <v>46153</v>
      </c>
      <c r="B1078" t="s">
        <v>30</v>
      </c>
      <c r="C1078" s="2">
        <v>8500</v>
      </c>
      <c r="D1078" t="s">
        <v>89</v>
      </c>
      <c r="E1078" s="16" t="s">
        <v>90</v>
      </c>
      <c r="G1078" s="7"/>
      <c r="I1078" s="7"/>
      <c r="K1078" t="str">
        <f t="shared" si="48"/>
        <v/>
      </c>
      <c r="L1078" t="str">
        <f t="shared" si="49"/>
        <v/>
      </c>
      <c r="M1078" t="str">
        <f t="shared" si="50"/>
        <v>2026-05</v>
      </c>
    </row>
    <row r="1079" spans="1:13" x14ac:dyDescent="0.25">
      <c r="A1079" s="1">
        <v>46153</v>
      </c>
      <c r="B1079" t="s">
        <v>35</v>
      </c>
      <c r="C1079" s="2">
        <v>8000</v>
      </c>
      <c r="D1079" t="s">
        <v>89</v>
      </c>
      <c r="E1079" s="16" t="s">
        <v>90</v>
      </c>
      <c r="G1079" s="7"/>
      <c r="I1079" s="7"/>
      <c r="K1079" t="str">
        <f t="shared" si="48"/>
        <v/>
      </c>
      <c r="L1079" t="str">
        <f t="shared" si="49"/>
        <v/>
      </c>
      <c r="M1079" t="str">
        <f t="shared" si="50"/>
        <v>2026-05</v>
      </c>
    </row>
    <row r="1080" spans="1:13" x14ac:dyDescent="0.25">
      <c r="A1080" s="1">
        <v>46153</v>
      </c>
      <c r="B1080" t="s">
        <v>35</v>
      </c>
      <c r="C1080" s="2">
        <v>8000</v>
      </c>
      <c r="D1080" t="s">
        <v>89</v>
      </c>
      <c r="E1080" s="16" t="s">
        <v>90</v>
      </c>
      <c r="G1080" s="7"/>
      <c r="I1080" s="7"/>
      <c r="K1080" t="str">
        <f t="shared" si="48"/>
        <v/>
      </c>
      <c r="L1080" t="str">
        <f t="shared" si="49"/>
        <v/>
      </c>
      <c r="M1080" t="str">
        <f t="shared" si="50"/>
        <v>2026-05</v>
      </c>
    </row>
    <row r="1081" spans="1:13" x14ac:dyDescent="0.25">
      <c r="A1081" s="1">
        <v>46153</v>
      </c>
      <c r="B1081" t="s">
        <v>114</v>
      </c>
      <c r="C1081" s="2">
        <v>16800</v>
      </c>
      <c r="D1081" t="s">
        <v>89</v>
      </c>
      <c r="E1081" s="16" t="s">
        <v>90</v>
      </c>
      <c r="G1081" s="7"/>
      <c r="I1081" s="7"/>
      <c r="K1081" t="str">
        <f t="shared" si="48"/>
        <v/>
      </c>
      <c r="L1081" t="str">
        <f t="shared" si="49"/>
        <v/>
      </c>
      <c r="M1081" t="str">
        <f t="shared" si="50"/>
        <v>2026-05</v>
      </c>
    </row>
    <row r="1082" spans="1:13" x14ac:dyDescent="0.25">
      <c r="A1082" s="1">
        <v>46154</v>
      </c>
      <c r="B1082" t="s">
        <v>112</v>
      </c>
      <c r="C1082" s="2">
        <v>650</v>
      </c>
      <c r="D1082" t="s">
        <v>89</v>
      </c>
      <c r="E1082" s="16" t="s">
        <v>90</v>
      </c>
      <c r="G1082" s="7"/>
      <c r="I1082" s="7"/>
      <c r="K1082" t="str">
        <f t="shared" si="48"/>
        <v/>
      </c>
      <c r="L1082" t="str">
        <f t="shared" si="49"/>
        <v/>
      </c>
      <c r="M1082" t="str">
        <f t="shared" si="50"/>
        <v>2026-05</v>
      </c>
    </row>
    <row r="1083" spans="1:13" x14ac:dyDescent="0.25">
      <c r="A1083" s="1">
        <v>46154</v>
      </c>
      <c r="B1083" t="s">
        <v>23</v>
      </c>
      <c r="C1083" s="2">
        <v>3750</v>
      </c>
      <c r="D1083" t="s">
        <v>89</v>
      </c>
      <c r="E1083" s="16" t="s">
        <v>90</v>
      </c>
      <c r="G1083" s="7"/>
      <c r="I1083" s="7"/>
      <c r="K1083" t="str">
        <f t="shared" si="48"/>
        <v/>
      </c>
      <c r="L1083" t="str">
        <f t="shared" si="49"/>
        <v/>
      </c>
      <c r="M1083" t="str">
        <f t="shared" si="50"/>
        <v>2026-05</v>
      </c>
    </row>
    <row r="1084" spans="1:13" x14ac:dyDescent="0.25">
      <c r="A1084" s="1">
        <v>46154</v>
      </c>
      <c r="B1084" t="s">
        <v>32</v>
      </c>
      <c r="C1084" s="2">
        <v>10000</v>
      </c>
      <c r="D1084" t="s">
        <v>89</v>
      </c>
      <c r="E1084" s="16" t="s">
        <v>90</v>
      </c>
      <c r="G1084" s="7"/>
      <c r="I1084" s="7"/>
      <c r="K1084" t="str">
        <f t="shared" si="48"/>
        <v/>
      </c>
      <c r="L1084" t="str">
        <f t="shared" si="49"/>
        <v/>
      </c>
      <c r="M1084" t="str">
        <f t="shared" si="50"/>
        <v>2026-05</v>
      </c>
    </row>
    <row r="1085" spans="1:13" x14ac:dyDescent="0.25">
      <c r="A1085" s="1">
        <v>46154</v>
      </c>
      <c r="B1085" t="s">
        <v>35</v>
      </c>
      <c r="C1085" s="2">
        <v>10000</v>
      </c>
      <c r="D1085" t="s">
        <v>89</v>
      </c>
      <c r="E1085" s="16" t="s">
        <v>90</v>
      </c>
      <c r="G1085" s="7"/>
      <c r="I1085" s="7"/>
      <c r="K1085" t="str">
        <f t="shared" si="48"/>
        <v/>
      </c>
      <c r="L1085" t="str">
        <f t="shared" si="49"/>
        <v/>
      </c>
      <c r="M1085" t="str">
        <f t="shared" si="50"/>
        <v>2026-05</v>
      </c>
    </row>
    <row r="1086" spans="1:13" x14ac:dyDescent="0.25">
      <c r="A1086" s="1">
        <v>46154</v>
      </c>
      <c r="B1086" t="s">
        <v>35</v>
      </c>
      <c r="C1086" s="2">
        <v>10000</v>
      </c>
      <c r="D1086" t="s">
        <v>89</v>
      </c>
      <c r="E1086" s="16" t="s">
        <v>90</v>
      </c>
      <c r="G1086" s="7"/>
      <c r="I1086" s="7"/>
      <c r="K1086" t="str">
        <f t="shared" si="48"/>
        <v/>
      </c>
      <c r="L1086" t="str">
        <f t="shared" si="49"/>
        <v/>
      </c>
      <c r="M1086" t="str">
        <f t="shared" si="50"/>
        <v>2026-05</v>
      </c>
    </row>
    <row r="1087" spans="1:13" x14ac:dyDescent="0.25">
      <c r="A1087" s="1">
        <v>46156</v>
      </c>
      <c r="B1087" t="s">
        <v>34</v>
      </c>
      <c r="C1087" s="2">
        <v>10000</v>
      </c>
      <c r="D1087" t="s">
        <v>89</v>
      </c>
      <c r="E1087" s="16" t="s">
        <v>90</v>
      </c>
      <c r="G1087" s="7"/>
      <c r="I1087" s="7"/>
      <c r="K1087" t="str">
        <f t="shared" si="48"/>
        <v/>
      </c>
      <c r="L1087" t="str">
        <f t="shared" si="49"/>
        <v/>
      </c>
      <c r="M1087" t="str">
        <f t="shared" si="50"/>
        <v>2026-05</v>
      </c>
    </row>
    <row r="1088" spans="1:13" x14ac:dyDescent="0.25">
      <c r="A1088" s="1">
        <v>46156</v>
      </c>
      <c r="B1088" t="s">
        <v>33</v>
      </c>
      <c r="C1088" s="2">
        <v>10400</v>
      </c>
      <c r="D1088" t="s">
        <v>89</v>
      </c>
      <c r="E1088" s="16" t="s">
        <v>90</v>
      </c>
      <c r="G1088" s="7"/>
      <c r="I1088" s="7"/>
      <c r="K1088" t="str">
        <f t="shared" si="48"/>
        <v/>
      </c>
      <c r="L1088" t="str">
        <f t="shared" si="49"/>
        <v/>
      </c>
      <c r="M1088" t="str">
        <f t="shared" si="50"/>
        <v>2026-05</v>
      </c>
    </row>
    <row r="1089" spans="1:13" x14ac:dyDescent="0.25">
      <c r="A1089" s="1">
        <v>46156</v>
      </c>
      <c r="B1089" t="s">
        <v>35</v>
      </c>
      <c r="C1089" s="2">
        <v>9350</v>
      </c>
      <c r="D1089" t="s">
        <v>89</v>
      </c>
      <c r="E1089" s="16" t="s">
        <v>90</v>
      </c>
      <c r="G1089" s="7"/>
      <c r="I1089" s="7"/>
      <c r="K1089" t="str">
        <f t="shared" si="48"/>
        <v/>
      </c>
      <c r="L1089" t="str">
        <f t="shared" si="49"/>
        <v/>
      </c>
      <c r="M1089" t="str">
        <f t="shared" si="50"/>
        <v>2026-05</v>
      </c>
    </row>
    <row r="1090" spans="1:13" x14ac:dyDescent="0.25">
      <c r="A1090" s="1">
        <v>46156</v>
      </c>
      <c r="B1090" t="s">
        <v>2</v>
      </c>
      <c r="C1090" s="2">
        <v>180</v>
      </c>
      <c r="D1090" t="s">
        <v>89</v>
      </c>
      <c r="E1090" s="16" t="s">
        <v>90</v>
      </c>
      <c r="G1090" s="7"/>
      <c r="I1090" s="7"/>
      <c r="K1090" t="str">
        <f t="shared" ref="K1090:K1153" si="51">IF(AND(L1090&lt;&gt;"",C1090&gt;0),L1090/C1090,"")</f>
        <v/>
      </c>
      <c r="L1090" t="str">
        <f t="shared" ref="L1090:L1153" si="52">IF(AND(D1090="FINALIZADO",H1090&lt;&gt;""),VALUE(LEFT(H1090,FIND("h",H1090)-1))*60+VALUE(MID(H1090,FIND("h",H1090)+2,FIND("min",H1090)-FIND("h",H1090)-2)),"")</f>
        <v/>
      </c>
      <c r="M1090" t="str">
        <f t="shared" ref="M1090:M1153" si="53">TEXT(YEAR(A1090),"0000")&amp;"-"&amp;TEXT(MONTH(A1090),"00")</f>
        <v>2026-05</v>
      </c>
    </row>
    <row r="1091" spans="1:13" x14ac:dyDescent="0.25">
      <c r="A1091" s="1">
        <v>46156</v>
      </c>
      <c r="B1091" t="s">
        <v>27</v>
      </c>
      <c r="C1091" s="2">
        <v>2100</v>
      </c>
      <c r="D1091" t="s">
        <v>89</v>
      </c>
      <c r="E1091" s="16" t="s">
        <v>90</v>
      </c>
      <c r="G1091" s="7"/>
      <c r="I1091" s="7"/>
      <c r="K1091" t="str">
        <f t="shared" si="51"/>
        <v/>
      </c>
      <c r="L1091" t="str">
        <f t="shared" si="52"/>
        <v/>
      </c>
      <c r="M1091" t="str">
        <f t="shared" si="53"/>
        <v>2026-05</v>
      </c>
    </row>
    <row r="1092" spans="1:13" x14ac:dyDescent="0.25">
      <c r="A1092" s="1">
        <v>46157</v>
      </c>
      <c r="B1092" t="s">
        <v>33</v>
      </c>
      <c r="C1092" s="2">
        <v>10400</v>
      </c>
      <c r="D1092" t="s">
        <v>89</v>
      </c>
      <c r="E1092" s="16" t="s">
        <v>90</v>
      </c>
      <c r="G1092" s="7"/>
      <c r="I1092" s="7"/>
      <c r="K1092" t="str">
        <f t="shared" si="51"/>
        <v/>
      </c>
      <c r="L1092" t="str">
        <f t="shared" si="52"/>
        <v/>
      </c>
      <c r="M1092" t="str">
        <f t="shared" si="53"/>
        <v>2026-05</v>
      </c>
    </row>
    <row r="1093" spans="1:13" x14ac:dyDescent="0.25">
      <c r="A1093" s="1">
        <v>46157</v>
      </c>
      <c r="B1093" t="s">
        <v>27</v>
      </c>
      <c r="C1093" s="2">
        <v>1050</v>
      </c>
      <c r="D1093" t="s">
        <v>89</v>
      </c>
      <c r="E1093" s="16" t="s">
        <v>90</v>
      </c>
      <c r="G1093" s="7"/>
      <c r="I1093" s="7"/>
      <c r="K1093" t="str">
        <f t="shared" si="51"/>
        <v/>
      </c>
      <c r="L1093" t="str">
        <f t="shared" si="52"/>
        <v/>
      </c>
      <c r="M1093" t="str">
        <f t="shared" si="53"/>
        <v>2026-05</v>
      </c>
    </row>
    <row r="1094" spans="1:13" x14ac:dyDescent="0.25">
      <c r="A1094" s="1">
        <v>46157</v>
      </c>
      <c r="B1094" t="s">
        <v>30</v>
      </c>
      <c r="C1094" s="2">
        <v>8500</v>
      </c>
      <c r="D1094" t="s">
        <v>89</v>
      </c>
      <c r="E1094" s="16" t="s">
        <v>90</v>
      </c>
      <c r="G1094" s="7"/>
      <c r="I1094" s="7"/>
      <c r="K1094" t="str">
        <f t="shared" si="51"/>
        <v/>
      </c>
      <c r="L1094" t="str">
        <f t="shared" si="52"/>
        <v/>
      </c>
      <c r="M1094" t="str">
        <f t="shared" si="53"/>
        <v>2026-05</v>
      </c>
    </row>
    <row r="1095" spans="1:13" x14ac:dyDescent="0.25">
      <c r="A1095" s="1">
        <v>46160</v>
      </c>
      <c r="B1095" t="s">
        <v>26</v>
      </c>
      <c r="C1095" s="2">
        <v>9350</v>
      </c>
      <c r="D1095" t="s">
        <v>89</v>
      </c>
      <c r="E1095" s="16" t="s">
        <v>90</v>
      </c>
      <c r="G1095" s="7"/>
      <c r="H1095" t="s">
        <v>116</v>
      </c>
      <c r="I1095" s="7"/>
      <c r="K1095">
        <f t="shared" si="51"/>
        <v>0.17540106951871659</v>
      </c>
      <c r="L1095">
        <f t="shared" si="52"/>
        <v>1640</v>
      </c>
      <c r="M1095" t="str">
        <f t="shared" si="53"/>
        <v>2026-05</v>
      </c>
    </row>
    <row r="1096" spans="1:13" x14ac:dyDescent="0.25">
      <c r="A1096" s="1">
        <v>46160</v>
      </c>
      <c r="B1096" t="s">
        <v>29</v>
      </c>
      <c r="C1096" s="2">
        <v>900</v>
      </c>
      <c r="D1096" t="s">
        <v>89</v>
      </c>
      <c r="E1096" s="16" t="s">
        <v>90</v>
      </c>
      <c r="G1096" s="7"/>
      <c r="I1096" s="7"/>
      <c r="K1096" t="str">
        <f t="shared" si="51"/>
        <v/>
      </c>
      <c r="L1096" t="str">
        <f t="shared" si="52"/>
        <v/>
      </c>
      <c r="M1096" t="str">
        <f t="shared" si="53"/>
        <v>2026-05</v>
      </c>
    </row>
    <row r="1097" spans="1:13" x14ac:dyDescent="0.25">
      <c r="A1097" s="1">
        <v>46161</v>
      </c>
      <c r="B1097" t="s">
        <v>33</v>
      </c>
      <c r="C1097" s="2">
        <v>10400</v>
      </c>
      <c r="D1097" t="s">
        <v>89</v>
      </c>
      <c r="E1097" s="16" t="s">
        <v>90</v>
      </c>
      <c r="G1097" s="7"/>
      <c r="I1097" s="7"/>
      <c r="K1097" t="str">
        <f t="shared" si="51"/>
        <v/>
      </c>
      <c r="L1097" t="str">
        <f t="shared" si="52"/>
        <v/>
      </c>
      <c r="M1097" t="str">
        <f t="shared" si="53"/>
        <v>2026-05</v>
      </c>
    </row>
    <row r="1098" spans="1:13" x14ac:dyDescent="0.25">
      <c r="A1098" s="1">
        <v>46161</v>
      </c>
      <c r="B1098" t="s">
        <v>27</v>
      </c>
      <c r="C1098" s="2">
        <v>6300</v>
      </c>
      <c r="D1098" t="s">
        <v>89</v>
      </c>
      <c r="E1098" s="16" t="s">
        <v>90</v>
      </c>
      <c r="G1098" s="7"/>
      <c r="I1098" s="7"/>
      <c r="K1098" t="str">
        <f t="shared" si="51"/>
        <v/>
      </c>
      <c r="L1098" t="str">
        <f t="shared" si="52"/>
        <v/>
      </c>
      <c r="M1098" t="str">
        <f t="shared" si="53"/>
        <v>2026-05</v>
      </c>
    </row>
    <row r="1099" spans="1:13" x14ac:dyDescent="0.25">
      <c r="A1099" s="1">
        <v>46161</v>
      </c>
      <c r="B1099" t="s">
        <v>29</v>
      </c>
      <c r="C1099" s="2">
        <v>900</v>
      </c>
      <c r="D1099" t="s">
        <v>89</v>
      </c>
      <c r="E1099" s="16" t="s">
        <v>90</v>
      </c>
      <c r="G1099" s="7"/>
      <c r="I1099" s="7"/>
      <c r="K1099" t="str">
        <f t="shared" si="51"/>
        <v/>
      </c>
      <c r="L1099" t="str">
        <f t="shared" si="52"/>
        <v/>
      </c>
      <c r="M1099" t="str">
        <f t="shared" si="53"/>
        <v>2026-05</v>
      </c>
    </row>
    <row r="1100" spans="1:13" x14ac:dyDescent="0.25">
      <c r="A1100" s="1">
        <v>46162</v>
      </c>
      <c r="B1100" t="s">
        <v>32</v>
      </c>
      <c r="C1100" s="2">
        <v>4000</v>
      </c>
      <c r="D1100" t="s">
        <v>89</v>
      </c>
      <c r="E1100" s="16" t="s">
        <v>90</v>
      </c>
      <c r="G1100" s="7"/>
      <c r="I1100" s="7"/>
      <c r="K1100" t="str">
        <f t="shared" si="51"/>
        <v/>
      </c>
      <c r="L1100" t="str">
        <f t="shared" si="52"/>
        <v/>
      </c>
      <c r="M1100" t="str">
        <f t="shared" si="53"/>
        <v>2026-05</v>
      </c>
    </row>
    <row r="1101" spans="1:13" x14ac:dyDescent="0.25">
      <c r="A1101" s="1">
        <v>46162</v>
      </c>
      <c r="B1101" t="s">
        <v>35</v>
      </c>
      <c r="C1101" s="2">
        <v>10000</v>
      </c>
      <c r="D1101" t="s">
        <v>89</v>
      </c>
      <c r="E1101" s="16" t="s">
        <v>90</v>
      </c>
      <c r="G1101" s="7"/>
      <c r="I1101" s="7"/>
      <c r="K1101" t="str">
        <f t="shared" si="51"/>
        <v/>
      </c>
      <c r="L1101" t="str">
        <f t="shared" si="52"/>
        <v/>
      </c>
      <c r="M1101" t="str">
        <f t="shared" si="53"/>
        <v>2026-05</v>
      </c>
    </row>
    <row r="1102" spans="1:13" x14ac:dyDescent="0.25">
      <c r="A1102" s="1">
        <v>46163</v>
      </c>
      <c r="B1102" t="s">
        <v>32</v>
      </c>
      <c r="C1102" s="2">
        <v>1100</v>
      </c>
      <c r="D1102" t="s">
        <v>89</v>
      </c>
      <c r="E1102" s="16" t="s">
        <v>90</v>
      </c>
      <c r="G1102" s="7"/>
      <c r="I1102" s="7"/>
      <c r="K1102" t="str">
        <f t="shared" si="51"/>
        <v/>
      </c>
      <c r="L1102" t="str">
        <f t="shared" si="52"/>
        <v/>
      </c>
      <c r="M1102" t="str">
        <f t="shared" si="53"/>
        <v>2026-05</v>
      </c>
    </row>
    <row r="1103" spans="1:13" x14ac:dyDescent="0.25">
      <c r="A1103" s="1">
        <v>46163</v>
      </c>
      <c r="B1103" t="s">
        <v>24</v>
      </c>
      <c r="C1103" s="2">
        <v>1000</v>
      </c>
      <c r="D1103" t="s">
        <v>89</v>
      </c>
      <c r="E1103" s="16" t="s">
        <v>90</v>
      </c>
      <c r="G1103" s="7"/>
      <c r="I1103" s="7"/>
      <c r="K1103" t="str">
        <f t="shared" si="51"/>
        <v/>
      </c>
      <c r="L1103" t="str">
        <f t="shared" si="52"/>
        <v/>
      </c>
      <c r="M1103" t="str">
        <f t="shared" si="53"/>
        <v>2026-05</v>
      </c>
    </row>
    <row r="1104" spans="1:13" x14ac:dyDescent="0.25">
      <c r="A1104" s="1">
        <v>46163</v>
      </c>
      <c r="B1104" t="s">
        <v>35</v>
      </c>
      <c r="C1104" s="2">
        <v>10000</v>
      </c>
      <c r="D1104" t="s">
        <v>89</v>
      </c>
      <c r="E1104" s="16" t="s">
        <v>90</v>
      </c>
      <c r="G1104" s="7"/>
      <c r="I1104" s="7"/>
      <c r="K1104" t="str">
        <f t="shared" si="51"/>
        <v/>
      </c>
      <c r="L1104" t="str">
        <f t="shared" si="52"/>
        <v/>
      </c>
      <c r="M1104" t="str">
        <f t="shared" si="53"/>
        <v>2026-05</v>
      </c>
    </row>
    <row r="1105" spans="1:13" x14ac:dyDescent="0.25">
      <c r="A1105" s="1">
        <v>46167</v>
      </c>
      <c r="B1105" t="s">
        <v>33</v>
      </c>
      <c r="C1105" s="2">
        <v>10400</v>
      </c>
      <c r="D1105" t="s">
        <v>89</v>
      </c>
      <c r="E1105" s="16" t="s">
        <v>90</v>
      </c>
      <c r="G1105" s="7"/>
      <c r="I1105" s="7"/>
      <c r="K1105" t="str">
        <f t="shared" si="51"/>
        <v/>
      </c>
      <c r="L1105" t="str">
        <f t="shared" si="52"/>
        <v/>
      </c>
      <c r="M1105" t="str">
        <f t="shared" si="53"/>
        <v>2026-05</v>
      </c>
    </row>
    <row r="1106" spans="1:13" x14ac:dyDescent="0.25">
      <c r="A1106" s="1">
        <v>46167</v>
      </c>
      <c r="B1106" t="s">
        <v>35</v>
      </c>
      <c r="C1106" s="2">
        <v>10000</v>
      </c>
      <c r="D1106" t="s">
        <v>89</v>
      </c>
      <c r="E1106" s="16" t="s">
        <v>90</v>
      </c>
      <c r="F1106" s="17"/>
      <c r="G1106" s="7"/>
      <c r="I1106" s="7"/>
      <c r="K1106" t="str">
        <f t="shared" si="51"/>
        <v/>
      </c>
      <c r="L1106" t="str">
        <f t="shared" si="52"/>
        <v/>
      </c>
      <c r="M1106" t="str">
        <f t="shared" si="53"/>
        <v>2026-05</v>
      </c>
    </row>
    <row r="1107" spans="1:13" x14ac:dyDescent="0.25">
      <c r="A1107" s="1">
        <v>46167</v>
      </c>
      <c r="B1107" t="s">
        <v>31</v>
      </c>
      <c r="C1107" s="2">
        <v>10000</v>
      </c>
      <c r="D1107" t="s">
        <v>89</v>
      </c>
      <c r="E1107" s="16" t="s">
        <v>90</v>
      </c>
      <c r="G1107" s="7"/>
      <c r="I1107" s="7"/>
      <c r="K1107" t="str">
        <f t="shared" si="51"/>
        <v/>
      </c>
      <c r="L1107" t="str">
        <f t="shared" si="52"/>
        <v/>
      </c>
      <c r="M1107" t="str">
        <f t="shared" si="53"/>
        <v>2026-05</v>
      </c>
    </row>
    <row r="1108" spans="1:13" x14ac:dyDescent="0.25">
      <c r="A1108" s="1">
        <v>46167</v>
      </c>
      <c r="B1108" t="s">
        <v>29</v>
      </c>
      <c r="C1108" s="2">
        <v>2700</v>
      </c>
      <c r="D1108" t="s">
        <v>89</v>
      </c>
      <c r="E1108" s="16" t="s">
        <v>90</v>
      </c>
      <c r="G1108" s="7"/>
      <c r="I1108" s="7"/>
      <c r="K1108" t="str">
        <f t="shared" si="51"/>
        <v/>
      </c>
      <c r="L1108" t="str">
        <f t="shared" si="52"/>
        <v/>
      </c>
      <c r="M1108" t="str">
        <f t="shared" si="53"/>
        <v>2026-05</v>
      </c>
    </row>
    <row r="1109" spans="1:13" x14ac:dyDescent="0.25">
      <c r="A1109" s="1">
        <v>46167</v>
      </c>
      <c r="B1109" t="s">
        <v>23</v>
      </c>
      <c r="C1109" s="2">
        <v>5000</v>
      </c>
      <c r="D1109" t="s">
        <v>89</v>
      </c>
      <c r="E1109" s="16" t="s">
        <v>90</v>
      </c>
      <c r="G1109" s="7"/>
      <c r="I1109" s="7"/>
      <c r="K1109" t="str">
        <f t="shared" si="51"/>
        <v/>
      </c>
      <c r="L1109" t="str">
        <f t="shared" si="52"/>
        <v/>
      </c>
      <c r="M1109" t="str">
        <f t="shared" si="53"/>
        <v>2026-05</v>
      </c>
    </row>
    <row r="1110" spans="1:13" x14ac:dyDescent="0.25">
      <c r="A1110" s="1">
        <v>46167</v>
      </c>
      <c r="B1110" t="s">
        <v>106</v>
      </c>
      <c r="C1110" s="2">
        <v>2500</v>
      </c>
      <c r="D1110" t="s">
        <v>89</v>
      </c>
      <c r="E1110" s="16" t="s">
        <v>90</v>
      </c>
      <c r="G1110" s="23"/>
      <c r="I1110" s="7"/>
      <c r="K1110" t="str">
        <f t="shared" si="51"/>
        <v/>
      </c>
      <c r="L1110" t="str">
        <f t="shared" si="52"/>
        <v/>
      </c>
      <c r="M1110" t="str">
        <f t="shared" si="53"/>
        <v>2026-05</v>
      </c>
    </row>
    <row r="1111" spans="1:13" x14ac:dyDescent="0.25">
      <c r="A1111" s="1">
        <v>46168</v>
      </c>
      <c r="B1111" t="s">
        <v>24</v>
      </c>
      <c r="C1111" s="2">
        <v>210</v>
      </c>
      <c r="D1111" t="s">
        <v>89</v>
      </c>
      <c r="E1111" s="16" t="s">
        <v>90</v>
      </c>
      <c r="G1111" s="7"/>
      <c r="I1111" s="7"/>
      <c r="K1111" t="str">
        <f t="shared" si="51"/>
        <v/>
      </c>
      <c r="L1111" t="str">
        <f t="shared" si="52"/>
        <v/>
      </c>
      <c r="M1111" t="str">
        <f t="shared" si="53"/>
        <v>2026-05</v>
      </c>
    </row>
    <row r="1112" spans="1:13" x14ac:dyDescent="0.25">
      <c r="A1112" s="1">
        <v>46169</v>
      </c>
      <c r="B1112" t="s">
        <v>34</v>
      </c>
      <c r="C1112" s="2">
        <v>10000</v>
      </c>
      <c r="D1112" t="s">
        <v>89</v>
      </c>
      <c r="E1112" s="16" t="s">
        <v>90</v>
      </c>
      <c r="F1112" s="17"/>
      <c r="G1112" s="23"/>
      <c r="I1112" s="7"/>
      <c r="K1112" t="str">
        <f t="shared" si="51"/>
        <v/>
      </c>
      <c r="L1112" t="str">
        <f t="shared" si="52"/>
        <v/>
      </c>
      <c r="M1112" t="str">
        <f t="shared" si="53"/>
        <v>2026-05</v>
      </c>
    </row>
    <row r="1113" spans="1:13" x14ac:dyDescent="0.25">
      <c r="A1113" s="1">
        <v>46169</v>
      </c>
      <c r="B1113" t="s">
        <v>33</v>
      </c>
      <c r="C1113" s="2">
        <v>10400</v>
      </c>
      <c r="D1113" t="s">
        <v>89</v>
      </c>
      <c r="E1113" s="16" t="s">
        <v>90</v>
      </c>
      <c r="F1113" s="23"/>
      <c r="G1113" s="23"/>
      <c r="I1113" s="7"/>
      <c r="K1113" t="str">
        <f t="shared" si="51"/>
        <v/>
      </c>
      <c r="L1113" t="str">
        <f t="shared" si="52"/>
        <v/>
      </c>
      <c r="M1113" t="str">
        <f t="shared" si="53"/>
        <v>2026-05</v>
      </c>
    </row>
    <row r="1114" spans="1:13" x14ac:dyDescent="0.25">
      <c r="A1114" s="1">
        <v>46169</v>
      </c>
      <c r="B1114" t="s">
        <v>16</v>
      </c>
      <c r="C1114" s="2">
        <v>500</v>
      </c>
      <c r="D1114" t="s">
        <v>89</v>
      </c>
      <c r="E1114" s="16" t="s">
        <v>90</v>
      </c>
      <c r="F1114" s="23">
        <v>46169.354375000003</v>
      </c>
      <c r="G1114" s="23">
        <v>46169.361319444448</v>
      </c>
      <c r="H1114" t="s">
        <v>115</v>
      </c>
      <c r="I1114" s="7"/>
      <c r="K1114">
        <f t="shared" si="51"/>
        <v>0</v>
      </c>
      <c r="L1114">
        <f t="shared" si="52"/>
        <v>0</v>
      </c>
      <c r="M1114" t="str">
        <f t="shared" si="53"/>
        <v>2026-05</v>
      </c>
    </row>
    <row r="1115" spans="1:13" x14ac:dyDescent="0.25">
      <c r="A1115" s="1">
        <v>46169</v>
      </c>
      <c r="B1115" t="s">
        <v>35</v>
      </c>
      <c r="C1115" s="2">
        <v>9000</v>
      </c>
      <c r="D1115" t="s">
        <v>89</v>
      </c>
      <c r="E1115" s="16" t="s">
        <v>90</v>
      </c>
      <c r="F1115" s="18">
        <v>46169.524548611109</v>
      </c>
      <c r="G1115" s="23">
        <v>46170.664004629631</v>
      </c>
      <c r="H1115" t="s">
        <v>116</v>
      </c>
      <c r="I1115" s="7"/>
      <c r="K1115">
        <f t="shared" si="51"/>
        <v>0.18222222222222223</v>
      </c>
      <c r="L1115">
        <f t="shared" si="52"/>
        <v>1640</v>
      </c>
      <c r="M1115" t="str">
        <f t="shared" si="53"/>
        <v>2026-05</v>
      </c>
    </row>
    <row r="1116" spans="1:13" x14ac:dyDescent="0.25">
      <c r="A1116" s="1">
        <v>46170</v>
      </c>
      <c r="B1116" t="s">
        <v>34</v>
      </c>
      <c r="C1116" s="2">
        <v>10000</v>
      </c>
      <c r="D1116" t="s">
        <v>89</v>
      </c>
      <c r="E1116" s="16" t="s">
        <v>90</v>
      </c>
      <c r="F1116" s="18">
        <v>46169.69121527778</v>
      </c>
      <c r="G1116" s="23">
        <v>46170.664629629631</v>
      </c>
      <c r="H1116" t="s">
        <v>117</v>
      </c>
      <c r="I1116" s="7"/>
      <c r="K1116">
        <f t="shared" si="51"/>
        <v>0.1401</v>
      </c>
      <c r="L1116">
        <f t="shared" si="52"/>
        <v>1401</v>
      </c>
      <c r="M1116" t="str">
        <f t="shared" si="53"/>
        <v>2026-05</v>
      </c>
    </row>
    <row r="1117" spans="1:13" x14ac:dyDescent="0.25">
      <c r="A1117" s="1">
        <v>46170</v>
      </c>
      <c r="B1117" t="s">
        <v>33</v>
      </c>
      <c r="C1117" s="2">
        <v>10400</v>
      </c>
      <c r="D1117" t="s">
        <v>89</v>
      </c>
      <c r="E1117" s="16" t="s">
        <v>90</v>
      </c>
      <c r="F1117" s="18">
        <v>46170.676550925928</v>
      </c>
      <c r="G1117" s="23">
        <v>46174.652268518519</v>
      </c>
      <c r="H1117" t="s">
        <v>189</v>
      </c>
      <c r="I1117" s="7"/>
      <c r="K1117">
        <f t="shared" si="51"/>
        <v>0.20432692307692307</v>
      </c>
      <c r="L1117">
        <f t="shared" si="52"/>
        <v>2125</v>
      </c>
      <c r="M1117" t="str">
        <f t="shared" si="53"/>
        <v>2026-05</v>
      </c>
    </row>
    <row r="1118" spans="1:13" x14ac:dyDescent="0.25">
      <c r="A1118" s="1">
        <v>46170</v>
      </c>
      <c r="B1118" t="s">
        <v>13</v>
      </c>
      <c r="C1118" s="2">
        <v>2000</v>
      </c>
      <c r="D1118" t="s">
        <v>89</v>
      </c>
      <c r="E1118" s="16" t="s">
        <v>90</v>
      </c>
      <c r="F1118" s="18">
        <v>46170.437905092593</v>
      </c>
      <c r="G1118" s="23">
        <v>46170.448912037027</v>
      </c>
      <c r="H1118" t="s">
        <v>118</v>
      </c>
      <c r="I1118" s="7"/>
      <c r="K1118">
        <f t="shared" si="51"/>
        <v>7.4999999999999997E-3</v>
      </c>
      <c r="L1118">
        <f t="shared" si="52"/>
        <v>15</v>
      </c>
      <c r="M1118" t="str">
        <f t="shared" si="53"/>
        <v>2026-05</v>
      </c>
    </row>
    <row r="1119" spans="1:13" x14ac:dyDescent="0.25">
      <c r="A1119" s="1">
        <v>46170</v>
      </c>
      <c r="B1119" t="s">
        <v>34</v>
      </c>
      <c r="C1119" s="2">
        <v>10000</v>
      </c>
      <c r="D1119" t="s">
        <v>89</v>
      </c>
      <c r="E1119" s="16" t="s">
        <v>90</v>
      </c>
      <c r="F1119" s="18">
        <v>46174.303773148153</v>
      </c>
      <c r="G1119" s="23">
        <v>46174.303807870368</v>
      </c>
      <c r="H1119" t="s">
        <v>119</v>
      </c>
      <c r="I1119" s="7"/>
      <c r="K1119">
        <f t="shared" si="51"/>
        <v>0.15920000000000001</v>
      </c>
      <c r="L1119">
        <f t="shared" si="52"/>
        <v>1592</v>
      </c>
      <c r="M1119" t="str">
        <f t="shared" si="53"/>
        <v>2026-05</v>
      </c>
    </row>
    <row r="1120" spans="1:13" x14ac:dyDescent="0.25">
      <c r="A1120" s="1">
        <v>46171</v>
      </c>
      <c r="B1120" t="s">
        <v>28</v>
      </c>
      <c r="C1120" s="2">
        <v>3000</v>
      </c>
      <c r="D1120" t="s">
        <v>89</v>
      </c>
      <c r="E1120" s="16" t="s">
        <v>90</v>
      </c>
      <c r="F1120" s="18">
        <v>46171.643067129633</v>
      </c>
      <c r="G1120" s="23">
        <v>46174.426134259258</v>
      </c>
      <c r="H1120" t="s">
        <v>188</v>
      </c>
      <c r="I1120" s="7"/>
      <c r="K1120">
        <f t="shared" si="51"/>
        <v>0.81566666666666665</v>
      </c>
      <c r="L1120">
        <f t="shared" si="52"/>
        <v>2447</v>
      </c>
      <c r="M1120" t="str">
        <f t="shared" si="53"/>
        <v>2026-05</v>
      </c>
    </row>
    <row r="1121" spans="1:13" x14ac:dyDescent="0.25">
      <c r="A1121" s="1">
        <v>46171</v>
      </c>
      <c r="B1121" t="s">
        <v>101</v>
      </c>
      <c r="C1121" s="2">
        <v>1000</v>
      </c>
      <c r="D1121" t="s">
        <v>89</v>
      </c>
      <c r="E1121" s="16" t="s">
        <v>90</v>
      </c>
      <c r="F1121" s="18">
        <v>46171.638657407413</v>
      </c>
      <c r="G1121" s="23">
        <v>46171.663622685177</v>
      </c>
      <c r="H1121" t="s">
        <v>120</v>
      </c>
      <c r="I1121" s="7"/>
      <c r="K1121">
        <f t="shared" si="51"/>
        <v>3.5000000000000003E-2</v>
      </c>
      <c r="L1121">
        <f t="shared" si="52"/>
        <v>35</v>
      </c>
      <c r="M1121" t="str">
        <f t="shared" si="53"/>
        <v>2026-05</v>
      </c>
    </row>
    <row r="1122" spans="1:13" x14ac:dyDescent="0.25">
      <c r="A1122" s="1">
        <v>46171</v>
      </c>
      <c r="B1122" t="s">
        <v>25</v>
      </c>
      <c r="C1122" s="2">
        <v>1000</v>
      </c>
      <c r="D1122" t="s">
        <v>89</v>
      </c>
      <c r="E1122" s="16" t="s">
        <v>90</v>
      </c>
      <c r="F1122" s="18">
        <v>46171.52753472222</v>
      </c>
      <c r="G1122" s="23">
        <v>46171.531238425923</v>
      </c>
      <c r="H1122" t="s">
        <v>121</v>
      </c>
      <c r="I1122" s="7"/>
      <c r="K1122">
        <f t="shared" si="51"/>
        <v>5.0000000000000001E-3</v>
      </c>
      <c r="L1122">
        <f t="shared" si="52"/>
        <v>5</v>
      </c>
      <c r="M1122" t="str">
        <f t="shared" si="53"/>
        <v>2026-05</v>
      </c>
    </row>
    <row r="1123" spans="1:13" x14ac:dyDescent="0.25">
      <c r="A1123" s="1">
        <v>46171</v>
      </c>
      <c r="B1123" t="s">
        <v>5</v>
      </c>
      <c r="C1123" s="2">
        <v>400</v>
      </c>
      <c r="D1123" t="s">
        <v>89</v>
      </c>
      <c r="E1123" s="16" t="s">
        <v>90</v>
      </c>
      <c r="F1123" s="18">
        <v>46171.433831018519</v>
      </c>
      <c r="G1123" s="23">
        <v>46174.303425925929</v>
      </c>
      <c r="H1123" t="s">
        <v>122</v>
      </c>
      <c r="I1123" s="7"/>
      <c r="K1123">
        <f t="shared" si="51"/>
        <v>4.03</v>
      </c>
      <c r="L1123">
        <f t="shared" si="52"/>
        <v>1612</v>
      </c>
      <c r="M1123" t="str">
        <f t="shared" si="53"/>
        <v>2026-05</v>
      </c>
    </row>
    <row r="1124" spans="1:13" x14ac:dyDescent="0.25">
      <c r="A1124" s="1">
        <v>46171</v>
      </c>
      <c r="B1124" t="s">
        <v>30</v>
      </c>
      <c r="C1124" s="2">
        <v>8500</v>
      </c>
      <c r="D1124" t="s">
        <v>89</v>
      </c>
      <c r="E1124" s="16" t="s">
        <v>90</v>
      </c>
      <c r="F1124" s="18">
        <v>46171.488287037027</v>
      </c>
      <c r="G1124" s="23">
        <v>46174.303368055553</v>
      </c>
      <c r="H1124" t="s">
        <v>187</v>
      </c>
      <c r="I1124" s="7"/>
      <c r="K1124">
        <f t="shared" si="51"/>
        <v>0.22976470588235295</v>
      </c>
      <c r="L1124">
        <f t="shared" si="52"/>
        <v>1953</v>
      </c>
      <c r="M1124" t="str">
        <f t="shared" si="53"/>
        <v>2026-05</v>
      </c>
    </row>
    <row r="1125" spans="1:13" x14ac:dyDescent="0.25">
      <c r="A1125" s="1">
        <v>46174</v>
      </c>
      <c r="B1125" t="s">
        <v>34</v>
      </c>
      <c r="C1125" s="2">
        <v>10000</v>
      </c>
      <c r="D1125" t="s">
        <v>89</v>
      </c>
      <c r="E1125" s="16" t="s">
        <v>90</v>
      </c>
      <c r="F1125" s="18">
        <v>46174.461365740739</v>
      </c>
      <c r="G1125" s="23">
        <v>46176.303969907407</v>
      </c>
      <c r="H1125" t="s">
        <v>123</v>
      </c>
      <c r="I1125" s="7"/>
      <c r="K1125">
        <f t="shared" si="51"/>
        <v>0.14119999999999999</v>
      </c>
      <c r="L1125">
        <f t="shared" si="52"/>
        <v>1412</v>
      </c>
      <c r="M1125" t="str">
        <f t="shared" si="53"/>
        <v>2026-06</v>
      </c>
    </row>
    <row r="1126" spans="1:13" x14ac:dyDescent="0.25">
      <c r="A1126" s="1">
        <v>46174</v>
      </c>
      <c r="B1126" t="s">
        <v>35</v>
      </c>
      <c r="C1126" s="2">
        <v>10000</v>
      </c>
      <c r="D1126" t="s">
        <v>89</v>
      </c>
      <c r="E1126" s="16" t="s">
        <v>90</v>
      </c>
      <c r="F1126" s="18">
        <v>46174.693206018521</v>
      </c>
      <c r="G1126" s="23">
        <v>46176.304270833331</v>
      </c>
      <c r="H1126" t="s">
        <v>124</v>
      </c>
      <c r="I1126" s="7"/>
      <c r="K1126">
        <f t="shared" si="51"/>
        <v>0.1472</v>
      </c>
      <c r="L1126">
        <f t="shared" si="52"/>
        <v>1472</v>
      </c>
      <c r="M1126" t="str">
        <f t="shared" si="53"/>
        <v>2026-06</v>
      </c>
    </row>
    <row r="1127" spans="1:13" x14ac:dyDescent="0.25">
      <c r="A1127" s="1">
        <v>46174</v>
      </c>
      <c r="B1127" t="s">
        <v>94</v>
      </c>
      <c r="C1127" s="2">
        <v>1000</v>
      </c>
      <c r="D1127" t="s">
        <v>89</v>
      </c>
      <c r="E1127" s="16" t="s">
        <v>90</v>
      </c>
      <c r="F1127" s="18">
        <v>46174.55568287037</v>
      </c>
      <c r="G1127" s="23">
        <v>46174.569004629629</v>
      </c>
      <c r="H1127" t="s">
        <v>125</v>
      </c>
      <c r="I1127" s="7"/>
      <c r="K1127">
        <f t="shared" si="51"/>
        <v>1.9E-2</v>
      </c>
      <c r="L1127">
        <f t="shared" si="52"/>
        <v>19</v>
      </c>
      <c r="M1127" t="str">
        <f t="shared" si="53"/>
        <v>2026-06</v>
      </c>
    </row>
    <row r="1128" spans="1:13" x14ac:dyDescent="0.25">
      <c r="A1128" s="1">
        <v>46174</v>
      </c>
      <c r="B1128" t="s">
        <v>29</v>
      </c>
      <c r="C1128" s="2">
        <v>900</v>
      </c>
      <c r="D1128" t="s">
        <v>89</v>
      </c>
      <c r="E1128" s="16" t="s">
        <v>90</v>
      </c>
      <c r="F1128" s="18">
        <v>46174.625104166669</v>
      </c>
      <c r="G1128" s="18">
        <v>46174.652106481481</v>
      </c>
      <c r="H1128" t="s">
        <v>126</v>
      </c>
      <c r="I1128" s="7"/>
      <c r="K1128">
        <f t="shared" si="51"/>
        <v>4.2222222222222223E-2</v>
      </c>
      <c r="L1128">
        <f t="shared" si="52"/>
        <v>38</v>
      </c>
      <c r="M1128" t="str">
        <f t="shared" si="53"/>
        <v>2026-06</v>
      </c>
    </row>
    <row r="1129" spans="1:13" x14ac:dyDescent="0.25">
      <c r="A1129" s="1">
        <v>46174</v>
      </c>
      <c r="B1129" t="s">
        <v>27</v>
      </c>
      <c r="C1129" s="2">
        <v>1050</v>
      </c>
      <c r="D1129" t="s">
        <v>89</v>
      </c>
      <c r="E1129" s="16" t="s">
        <v>90</v>
      </c>
      <c r="F1129" s="18">
        <v>46174.54278935185</v>
      </c>
      <c r="G1129" s="23">
        <v>46174.575659722221</v>
      </c>
      <c r="H1129" t="s">
        <v>127</v>
      </c>
      <c r="I1129" s="7"/>
      <c r="K1129">
        <f t="shared" si="51"/>
        <v>4.476190476190476E-2</v>
      </c>
      <c r="L1129">
        <f t="shared" si="52"/>
        <v>47</v>
      </c>
      <c r="M1129" t="str">
        <f t="shared" si="53"/>
        <v>2026-06</v>
      </c>
    </row>
    <row r="1130" spans="1:13" x14ac:dyDescent="0.25">
      <c r="A1130" s="1">
        <v>46174</v>
      </c>
      <c r="B1130" t="s">
        <v>101</v>
      </c>
      <c r="C1130" s="2">
        <v>1000</v>
      </c>
      <c r="D1130" t="s">
        <v>89</v>
      </c>
      <c r="E1130" s="16" t="s">
        <v>90</v>
      </c>
      <c r="F1130" s="18">
        <v>46174.528229166674</v>
      </c>
      <c r="G1130" s="23">
        <v>46174.551655092589</v>
      </c>
      <c r="H1130" t="s">
        <v>128</v>
      </c>
      <c r="I1130" s="7"/>
      <c r="K1130">
        <f t="shared" si="51"/>
        <v>3.3000000000000002E-2</v>
      </c>
      <c r="L1130">
        <f t="shared" si="52"/>
        <v>33</v>
      </c>
      <c r="M1130" t="str">
        <f t="shared" si="53"/>
        <v>2026-06</v>
      </c>
    </row>
    <row r="1131" spans="1:13" x14ac:dyDescent="0.25">
      <c r="A1131" s="1">
        <v>46175</v>
      </c>
      <c r="B1131" t="s">
        <v>35</v>
      </c>
      <c r="C1131" s="2">
        <v>10000</v>
      </c>
      <c r="D1131" t="s">
        <v>89</v>
      </c>
      <c r="E1131" s="16" t="s">
        <v>90</v>
      </c>
      <c r="F1131" s="18">
        <v>46175.513009259259</v>
      </c>
      <c r="G1131" s="23">
        <v>46176.703530092593</v>
      </c>
      <c r="H1131" t="s">
        <v>129</v>
      </c>
      <c r="I1131" s="7"/>
      <c r="K1131">
        <f t="shared" si="51"/>
        <v>0.1714</v>
      </c>
      <c r="L1131">
        <f t="shared" si="52"/>
        <v>1714</v>
      </c>
      <c r="M1131" t="str">
        <f t="shared" si="53"/>
        <v>2026-06</v>
      </c>
    </row>
    <row r="1132" spans="1:13" x14ac:dyDescent="0.25">
      <c r="A1132" s="1">
        <v>46175</v>
      </c>
      <c r="B1132" t="s">
        <v>34</v>
      </c>
      <c r="C1132" s="2">
        <v>10000</v>
      </c>
      <c r="D1132" t="s">
        <v>89</v>
      </c>
      <c r="E1132" s="16" t="s">
        <v>90</v>
      </c>
      <c r="F1132" s="18">
        <v>46174.512499999997</v>
      </c>
      <c r="G1132" s="18">
        <v>46175.720833333333</v>
      </c>
      <c r="H1132" t="s">
        <v>130</v>
      </c>
      <c r="I1132" s="7"/>
      <c r="K1132">
        <f t="shared" si="51"/>
        <v>0.15909999999999999</v>
      </c>
      <c r="L1132">
        <f t="shared" si="52"/>
        <v>1591</v>
      </c>
      <c r="M1132" t="str">
        <f t="shared" si="53"/>
        <v>2026-06</v>
      </c>
    </row>
    <row r="1133" spans="1:13" x14ac:dyDescent="0.25">
      <c r="A1133" s="1">
        <v>46175</v>
      </c>
      <c r="B1133" t="s">
        <v>33</v>
      </c>
      <c r="C1133" s="2">
        <v>10400</v>
      </c>
      <c r="D1133" t="s">
        <v>89</v>
      </c>
      <c r="E1133" s="16" t="s">
        <v>90</v>
      </c>
      <c r="F1133" s="18">
        <v>46175.430011574077</v>
      </c>
      <c r="G1133" s="23">
        <v>46178.336435185192</v>
      </c>
      <c r="H1133" t="s">
        <v>186</v>
      </c>
      <c r="I1133" s="7"/>
      <c r="K1133">
        <f t="shared" si="51"/>
        <v>0.15432692307692308</v>
      </c>
      <c r="L1133">
        <f t="shared" si="52"/>
        <v>1605</v>
      </c>
      <c r="M1133" t="str">
        <f t="shared" si="53"/>
        <v>2026-06</v>
      </c>
    </row>
    <row r="1134" spans="1:13" x14ac:dyDescent="0.25">
      <c r="A1134" s="1">
        <v>46175</v>
      </c>
      <c r="B1134" t="s">
        <v>29</v>
      </c>
      <c r="C1134" s="2">
        <v>1800</v>
      </c>
      <c r="D1134" t="s">
        <v>89</v>
      </c>
      <c r="E1134" s="16" t="s">
        <v>90</v>
      </c>
      <c r="F1134" s="23">
        <v>46175.458333333343</v>
      </c>
      <c r="G1134" s="23">
        <v>46175.532638888893</v>
      </c>
      <c r="H1134" t="s">
        <v>131</v>
      </c>
      <c r="I1134" s="7"/>
      <c r="K1134">
        <f t="shared" si="51"/>
        <v>5.9444444444444446E-2</v>
      </c>
      <c r="L1134">
        <f t="shared" si="52"/>
        <v>107</v>
      </c>
      <c r="M1134" t="str">
        <f t="shared" si="53"/>
        <v>2026-06</v>
      </c>
    </row>
    <row r="1135" spans="1:13" x14ac:dyDescent="0.25">
      <c r="A1135" s="1">
        <v>46176</v>
      </c>
      <c r="B1135" t="s">
        <v>94</v>
      </c>
      <c r="C1135" s="2">
        <v>900</v>
      </c>
      <c r="D1135" t="s">
        <v>89</v>
      </c>
      <c r="E1135" s="16" t="s">
        <v>90</v>
      </c>
      <c r="F1135" s="18">
        <v>46176.325532407413</v>
      </c>
      <c r="G1135" s="23">
        <v>46176.335451388892</v>
      </c>
      <c r="H1135" t="s">
        <v>132</v>
      </c>
      <c r="I1135" s="7"/>
      <c r="K1135">
        <f t="shared" si="51"/>
        <v>1.5555555555555555E-2</v>
      </c>
      <c r="L1135">
        <f t="shared" si="52"/>
        <v>14</v>
      </c>
      <c r="M1135" t="str">
        <f t="shared" si="53"/>
        <v>2026-06</v>
      </c>
    </row>
    <row r="1136" spans="1:13" x14ac:dyDescent="0.25">
      <c r="A1136" s="1">
        <v>46176</v>
      </c>
      <c r="B1136" t="s">
        <v>22</v>
      </c>
      <c r="C1136" s="2">
        <v>1050</v>
      </c>
      <c r="D1136" t="s">
        <v>89</v>
      </c>
      <c r="E1136" s="16" t="s">
        <v>90</v>
      </c>
      <c r="F1136" s="18">
        <v>46176.328483796293</v>
      </c>
      <c r="G1136" s="23">
        <v>46176.34578703704</v>
      </c>
      <c r="H1136" t="s">
        <v>133</v>
      </c>
      <c r="I1136" s="7"/>
      <c r="K1136">
        <f t="shared" si="51"/>
        <v>2.2857142857142857E-2</v>
      </c>
      <c r="L1136">
        <f t="shared" si="52"/>
        <v>24</v>
      </c>
      <c r="M1136" t="str">
        <f t="shared" si="53"/>
        <v>2026-06</v>
      </c>
    </row>
    <row r="1137" spans="1:13" x14ac:dyDescent="0.25">
      <c r="A1137" s="1">
        <v>46176</v>
      </c>
      <c r="B1137" t="s">
        <v>27</v>
      </c>
      <c r="C1137" s="2">
        <v>3150</v>
      </c>
      <c r="D1137" t="s">
        <v>89</v>
      </c>
      <c r="E1137" s="16" t="s">
        <v>90</v>
      </c>
      <c r="F1137" s="18">
        <v>46176.45</v>
      </c>
      <c r="G1137" s="23">
        <v>46176.523888888893</v>
      </c>
      <c r="H1137" t="s">
        <v>134</v>
      </c>
      <c r="I1137" s="7"/>
      <c r="K1137">
        <f t="shared" si="51"/>
        <v>3.3650793650793653E-2</v>
      </c>
      <c r="L1137">
        <f t="shared" si="52"/>
        <v>106</v>
      </c>
      <c r="M1137" t="str">
        <f t="shared" si="53"/>
        <v>2026-06</v>
      </c>
    </row>
    <row r="1138" spans="1:13" x14ac:dyDescent="0.25">
      <c r="A1138" s="1">
        <v>46176</v>
      </c>
      <c r="B1138" t="s">
        <v>21</v>
      </c>
      <c r="C1138" s="2">
        <v>3750</v>
      </c>
      <c r="D1138" t="s">
        <v>89</v>
      </c>
      <c r="E1138" s="16" t="s">
        <v>90</v>
      </c>
      <c r="F1138" s="18">
        <v>46176.691192129627</v>
      </c>
      <c r="G1138" s="23">
        <v>46176.70385416667</v>
      </c>
      <c r="H1138" t="s">
        <v>126</v>
      </c>
      <c r="I1138" s="7"/>
      <c r="K1138">
        <f t="shared" si="51"/>
        <v>1.0133333333333333E-2</v>
      </c>
      <c r="L1138">
        <f t="shared" si="52"/>
        <v>38</v>
      </c>
      <c r="M1138" t="str">
        <f t="shared" si="53"/>
        <v>2026-06</v>
      </c>
    </row>
    <row r="1139" spans="1:13" x14ac:dyDescent="0.25">
      <c r="A1139" s="1">
        <v>46176</v>
      </c>
      <c r="B1139" t="s">
        <v>34</v>
      </c>
      <c r="C1139" s="2">
        <v>10000</v>
      </c>
      <c r="D1139" t="s">
        <v>89</v>
      </c>
      <c r="E1139" s="16" t="s">
        <v>90</v>
      </c>
      <c r="F1139" s="18">
        <v>46176.493888888886</v>
      </c>
      <c r="G1139" s="23">
        <v>46177.370104166657</v>
      </c>
      <c r="H1139" t="s">
        <v>130</v>
      </c>
      <c r="I1139" s="7"/>
      <c r="K1139">
        <f t="shared" si="51"/>
        <v>0.15909999999999999</v>
      </c>
      <c r="L1139">
        <f t="shared" si="52"/>
        <v>1591</v>
      </c>
      <c r="M1139" t="str">
        <f t="shared" si="53"/>
        <v>2026-06</v>
      </c>
    </row>
    <row r="1140" spans="1:13" x14ac:dyDescent="0.25">
      <c r="A1140" s="1">
        <v>46178</v>
      </c>
      <c r="B1140" t="s">
        <v>35</v>
      </c>
      <c r="C1140" s="2">
        <v>10000</v>
      </c>
      <c r="D1140" t="s">
        <v>89</v>
      </c>
      <c r="E1140" s="16" t="s">
        <v>90</v>
      </c>
      <c r="F1140" s="18">
        <v>46178.470497685194</v>
      </c>
      <c r="G1140" s="23">
        <v>46181.370462962957</v>
      </c>
      <c r="H1140" t="s">
        <v>185</v>
      </c>
      <c r="I1140" s="7"/>
      <c r="K1140">
        <f t="shared" si="51"/>
        <v>0.1835</v>
      </c>
      <c r="L1140">
        <f t="shared" si="52"/>
        <v>1835</v>
      </c>
      <c r="M1140" t="str">
        <f t="shared" si="53"/>
        <v>2026-06</v>
      </c>
    </row>
    <row r="1141" spans="1:13" x14ac:dyDescent="0.25">
      <c r="A1141" s="1">
        <v>46178</v>
      </c>
      <c r="B1141" t="s">
        <v>100</v>
      </c>
      <c r="C1141" s="2">
        <v>1000</v>
      </c>
      <c r="D1141" t="s">
        <v>89</v>
      </c>
      <c r="E1141" s="16" t="s">
        <v>90</v>
      </c>
      <c r="F1141" s="18">
        <v>46178.385324074072</v>
      </c>
      <c r="G1141" s="23">
        <v>46178.470625000002</v>
      </c>
      <c r="H1141" t="s">
        <v>135</v>
      </c>
      <c r="I1141" s="7"/>
      <c r="K1141">
        <f t="shared" si="51"/>
        <v>0.122</v>
      </c>
      <c r="L1141">
        <f t="shared" si="52"/>
        <v>122</v>
      </c>
      <c r="M1141" t="str">
        <f t="shared" si="53"/>
        <v>2026-06</v>
      </c>
    </row>
    <row r="1142" spans="1:13" x14ac:dyDescent="0.25">
      <c r="A1142" s="1">
        <v>46178</v>
      </c>
      <c r="B1142" t="s">
        <v>21</v>
      </c>
      <c r="C1142" s="2">
        <v>11250</v>
      </c>
      <c r="D1142" t="s">
        <v>89</v>
      </c>
      <c r="E1142" s="16" t="s">
        <v>90</v>
      </c>
      <c r="F1142" s="18">
        <v>46178.385462962957</v>
      </c>
      <c r="G1142" s="23">
        <v>46178.52685185185</v>
      </c>
      <c r="H1142" t="s">
        <v>136</v>
      </c>
      <c r="I1142" s="7"/>
      <c r="K1142">
        <f t="shared" si="51"/>
        <v>1.8044444444444443E-2</v>
      </c>
      <c r="L1142">
        <f t="shared" si="52"/>
        <v>203</v>
      </c>
      <c r="M1142" t="str">
        <f t="shared" si="53"/>
        <v>2026-06</v>
      </c>
    </row>
    <row r="1143" spans="1:13" x14ac:dyDescent="0.25">
      <c r="A1143" s="1">
        <v>46181</v>
      </c>
      <c r="B1143" t="s">
        <v>111</v>
      </c>
      <c r="C1143" s="2">
        <v>17500</v>
      </c>
      <c r="D1143" t="s">
        <v>89</v>
      </c>
      <c r="E1143" s="16" t="s">
        <v>90</v>
      </c>
      <c r="F1143" s="18">
        <v>46181.622303240743</v>
      </c>
      <c r="G1143" s="23">
        <v>46181.683240740742</v>
      </c>
      <c r="H1143" t="s">
        <v>137</v>
      </c>
      <c r="I1143" s="7"/>
      <c r="K1143">
        <f t="shared" si="51"/>
        <v>4.9714285714285711E-3</v>
      </c>
      <c r="L1143">
        <f t="shared" si="52"/>
        <v>87</v>
      </c>
      <c r="M1143" t="str">
        <f t="shared" si="53"/>
        <v>2026-06</v>
      </c>
    </row>
    <row r="1144" spans="1:13" x14ac:dyDescent="0.25">
      <c r="A1144" s="1">
        <v>46181</v>
      </c>
      <c r="B1144" t="s">
        <v>35</v>
      </c>
      <c r="C1144" s="2">
        <v>6800</v>
      </c>
      <c r="D1144" t="s">
        <v>89</v>
      </c>
      <c r="E1144" s="16" t="s">
        <v>90</v>
      </c>
      <c r="F1144" s="18">
        <v>46181.474178240736</v>
      </c>
      <c r="G1144" s="23">
        <v>46182.669131944444</v>
      </c>
      <c r="H1144" t="s">
        <v>138</v>
      </c>
      <c r="I1144" s="7"/>
      <c r="K1144">
        <f t="shared" si="51"/>
        <v>0.25294117647058822</v>
      </c>
      <c r="L1144">
        <f t="shared" si="52"/>
        <v>1720</v>
      </c>
      <c r="M1144" t="str">
        <f t="shared" si="53"/>
        <v>2026-06</v>
      </c>
    </row>
    <row r="1145" spans="1:13" x14ac:dyDescent="0.25">
      <c r="A1145" s="1">
        <v>46181</v>
      </c>
      <c r="B1145" t="s">
        <v>24</v>
      </c>
      <c r="C1145" s="2">
        <v>500</v>
      </c>
      <c r="D1145" t="s">
        <v>89</v>
      </c>
      <c r="E1145" s="16" t="s">
        <v>90</v>
      </c>
      <c r="F1145" s="18">
        <v>46181.682511574072</v>
      </c>
      <c r="G1145" s="18">
        <v>46181.695706018523</v>
      </c>
      <c r="H1145" t="s">
        <v>139</v>
      </c>
      <c r="I1145" s="7"/>
      <c r="K1145">
        <f t="shared" si="51"/>
        <v>4.5999999999999999E-2</v>
      </c>
      <c r="L1145">
        <f t="shared" si="52"/>
        <v>23</v>
      </c>
      <c r="M1145" t="str">
        <f t="shared" si="53"/>
        <v>2026-06</v>
      </c>
    </row>
    <row r="1146" spans="1:13" x14ac:dyDescent="0.25">
      <c r="A1146" s="1">
        <v>46182</v>
      </c>
      <c r="B1146" t="s">
        <v>21</v>
      </c>
      <c r="C1146" s="2">
        <v>10000</v>
      </c>
      <c r="D1146" t="s">
        <v>89</v>
      </c>
      <c r="E1146" s="16" t="s">
        <v>90</v>
      </c>
      <c r="F1146" s="18">
        <v>46182.395844907413</v>
      </c>
      <c r="G1146" s="23">
        <v>46182.454282407409</v>
      </c>
      <c r="H1146" t="s">
        <v>140</v>
      </c>
      <c r="I1146" s="7"/>
      <c r="K1146">
        <f t="shared" si="51"/>
        <v>1.44E-2</v>
      </c>
      <c r="L1146">
        <f t="shared" si="52"/>
        <v>144</v>
      </c>
      <c r="M1146" t="str">
        <f t="shared" si="53"/>
        <v>2026-06</v>
      </c>
    </row>
    <row r="1147" spans="1:13" ht="14.25" customHeight="1" x14ac:dyDescent="0.25">
      <c r="A1147" s="1">
        <v>46182</v>
      </c>
      <c r="B1147" t="s">
        <v>30</v>
      </c>
      <c r="C1147" s="2">
        <v>8500</v>
      </c>
      <c r="D1147" t="s">
        <v>89</v>
      </c>
      <c r="E1147" s="16" t="s">
        <v>90</v>
      </c>
      <c r="F1147" s="18">
        <v>46182.669641203713</v>
      </c>
      <c r="G1147" s="23">
        <v>46183.507372685177</v>
      </c>
      <c r="H1147" t="s">
        <v>141</v>
      </c>
      <c r="I1147" s="7"/>
      <c r="K1147">
        <f t="shared" si="51"/>
        <v>0.14188235294117646</v>
      </c>
      <c r="L1147">
        <f t="shared" si="52"/>
        <v>1206</v>
      </c>
      <c r="M1147" t="str">
        <f t="shared" si="53"/>
        <v>2026-06</v>
      </c>
    </row>
    <row r="1148" spans="1:13" x14ac:dyDescent="0.25">
      <c r="A1148" s="1">
        <v>46182</v>
      </c>
      <c r="B1148" t="s">
        <v>6</v>
      </c>
      <c r="C1148" s="2">
        <v>500</v>
      </c>
      <c r="D1148" t="s">
        <v>89</v>
      </c>
      <c r="E1148" s="16" t="s">
        <v>90</v>
      </c>
      <c r="F1148" s="18">
        <v>46182.543217592603</v>
      </c>
      <c r="G1148" s="23">
        <v>46182.584965277783</v>
      </c>
      <c r="H1148" t="s">
        <v>142</v>
      </c>
      <c r="I1148" s="7"/>
      <c r="K1148">
        <f t="shared" si="51"/>
        <v>0.128</v>
      </c>
      <c r="L1148">
        <f t="shared" si="52"/>
        <v>64</v>
      </c>
      <c r="M1148" t="str">
        <f t="shared" si="53"/>
        <v>2026-06</v>
      </c>
    </row>
    <row r="1149" spans="1:13" x14ac:dyDescent="0.25">
      <c r="A1149" s="1">
        <v>46183</v>
      </c>
      <c r="B1149" t="s">
        <v>32</v>
      </c>
      <c r="C1149" s="2">
        <v>8000</v>
      </c>
      <c r="D1149" t="s">
        <v>89</v>
      </c>
      <c r="E1149" s="16" t="s">
        <v>90</v>
      </c>
      <c r="F1149" s="18">
        <v>46183.500543981478</v>
      </c>
      <c r="G1149" s="23">
        <v>46183.658483796287</v>
      </c>
      <c r="H1149" t="s">
        <v>143</v>
      </c>
      <c r="I1149" s="7"/>
      <c r="K1149">
        <f t="shared" si="51"/>
        <v>2.8375000000000001E-2</v>
      </c>
      <c r="L1149">
        <f t="shared" si="52"/>
        <v>227</v>
      </c>
      <c r="M1149" t="str">
        <f t="shared" si="53"/>
        <v>2026-06</v>
      </c>
    </row>
    <row r="1150" spans="1:13" x14ac:dyDescent="0.25">
      <c r="A1150" s="1">
        <v>46183</v>
      </c>
      <c r="B1150" t="s">
        <v>35</v>
      </c>
      <c r="C1150" s="2">
        <v>10000</v>
      </c>
      <c r="D1150" t="s">
        <v>89</v>
      </c>
      <c r="E1150" s="16" t="s">
        <v>90</v>
      </c>
      <c r="F1150" s="18">
        <v>46183.421122685177</v>
      </c>
      <c r="G1150" s="23">
        <v>46184.694490740738</v>
      </c>
      <c r="H1150" t="s">
        <v>144</v>
      </c>
      <c r="I1150" s="7"/>
      <c r="K1150">
        <f t="shared" si="51"/>
        <v>0.17130000000000001</v>
      </c>
      <c r="L1150">
        <f t="shared" si="52"/>
        <v>1713</v>
      </c>
      <c r="M1150" t="str">
        <f t="shared" si="53"/>
        <v>2026-06</v>
      </c>
    </row>
    <row r="1151" spans="1:13" x14ac:dyDescent="0.25">
      <c r="A1151" s="1">
        <v>46184</v>
      </c>
      <c r="B1151" t="s">
        <v>35</v>
      </c>
      <c r="C1151" s="2">
        <v>10000</v>
      </c>
      <c r="D1151" t="s">
        <v>89</v>
      </c>
      <c r="E1151" s="16" t="s">
        <v>90</v>
      </c>
      <c r="F1151" s="18">
        <v>46184.498356481483</v>
      </c>
      <c r="G1151" s="23">
        <v>46185.618449074071</v>
      </c>
      <c r="H1151" t="s">
        <v>122</v>
      </c>
      <c r="I1151" s="7"/>
      <c r="K1151">
        <f t="shared" si="51"/>
        <v>0.16120000000000001</v>
      </c>
      <c r="L1151">
        <f t="shared" si="52"/>
        <v>1612</v>
      </c>
      <c r="M1151" t="str">
        <f t="shared" si="53"/>
        <v>2026-06</v>
      </c>
    </row>
    <row r="1152" spans="1:13" x14ac:dyDescent="0.25">
      <c r="A1152" s="1">
        <v>46184</v>
      </c>
      <c r="B1152" t="s">
        <v>29</v>
      </c>
      <c r="C1152" s="2">
        <v>4500</v>
      </c>
      <c r="D1152" t="s">
        <v>89</v>
      </c>
      <c r="E1152" s="16" t="s">
        <v>90</v>
      </c>
      <c r="F1152" s="18">
        <v>46185.361064814817</v>
      </c>
      <c r="G1152" s="23">
        <v>46185.439039351862</v>
      </c>
      <c r="H1152" t="s">
        <v>145</v>
      </c>
      <c r="I1152" s="7"/>
      <c r="K1152">
        <f t="shared" si="51"/>
        <v>2.4888888888888887E-2</v>
      </c>
      <c r="L1152">
        <f t="shared" si="52"/>
        <v>112</v>
      </c>
      <c r="M1152" t="str">
        <f t="shared" si="53"/>
        <v>2026-06</v>
      </c>
    </row>
    <row r="1153" spans="1:13" x14ac:dyDescent="0.25">
      <c r="A1153" s="1">
        <v>46184</v>
      </c>
      <c r="B1153" t="s">
        <v>23</v>
      </c>
      <c r="C1153" s="2">
        <v>5000</v>
      </c>
      <c r="D1153" t="s">
        <v>89</v>
      </c>
      <c r="E1153" s="16" t="s">
        <v>90</v>
      </c>
      <c r="F1153" s="23">
        <v>46185.319780092592</v>
      </c>
      <c r="G1153" s="23">
        <v>46185.375335648147</v>
      </c>
      <c r="H1153" t="s">
        <v>159</v>
      </c>
      <c r="I1153" s="7"/>
      <c r="K1153">
        <f t="shared" si="51"/>
        <v>1.2E-2</v>
      </c>
      <c r="L1153">
        <f t="shared" si="52"/>
        <v>60</v>
      </c>
      <c r="M1153" t="str">
        <f t="shared" si="53"/>
        <v>2026-06</v>
      </c>
    </row>
    <row r="1154" spans="1:13" x14ac:dyDescent="0.25">
      <c r="A1154" s="1">
        <v>46184</v>
      </c>
      <c r="B1154" t="s">
        <v>32</v>
      </c>
      <c r="C1154" s="2">
        <v>5000</v>
      </c>
      <c r="D1154" t="s">
        <v>89</v>
      </c>
      <c r="E1154" s="16" t="s">
        <v>90</v>
      </c>
      <c r="F1154" s="18">
        <v>46184.420173611114</v>
      </c>
      <c r="G1154" s="23">
        <v>46184.465624999997</v>
      </c>
      <c r="H1154" t="s">
        <v>146</v>
      </c>
      <c r="I1154" s="7"/>
      <c r="K1154">
        <f t="shared" ref="K1154:K1173" si="54">IF(AND(L1154&lt;&gt;"",C1154&gt;0),L1154/C1154,"")</f>
        <v>1.4999999999999999E-2</v>
      </c>
      <c r="L1154">
        <f t="shared" ref="L1154:L1173" si="55">IF(AND(D1154="FINALIZADO",H1154&lt;&gt;""),VALUE(LEFT(H1154,FIND("h",H1154)-1))*60+VALUE(MID(H1154,FIND("h",H1154)+2,FIND("min",H1154)-FIND("h",H1154)-2)),"")</f>
        <v>75</v>
      </c>
      <c r="M1154" t="str">
        <f t="shared" ref="M1154:M1173" si="56">TEXT(YEAR(A1154),"0000")&amp;"-"&amp;TEXT(MONTH(A1154),"00")</f>
        <v>2026-06</v>
      </c>
    </row>
    <row r="1155" spans="1:13" x14ac:dyDescent="0.25">
      <c r="A1155" s="1">
        <v>46185</v>
      </c>
      <c r="B1155" t="s">
        <v>10</v>
      </c>
      <c r="C1155" s="2">
        <v>1200</v>
      </c>
      <c r="D1155" t="s">
        <v>89</v>
      </c>
      <c r="E1155" s="16" t="s">
        <v>90</v>
      </c>
      <c r="F1155" s="18">
        <v>46185.618738425917</v>
      </c>
      <c r="G1155" s="18">
        <v>46185.619108796287</v>
      </c>
      <c r="H1155" t="s">
        <v>147</v>
      </c>
      <c r="I1155" s="7"/>
      <c r="K1155">
        <f t="shared" si="54"/>
        <v>5.3333333333333337E-2</v>
      </c>
      <c r="L1155">
        <f t="shared" si="55"/>
        <v>64</v>
      </c>
      <c r="M1155" t="str">
        <f t="shared" si="56"/>
        <v>2026-06</v>
      </c>
    </row>
    <row r="1156" spans="1:13" x14ac:dyDescent="0.25">
      <c r="A1156" s="1">
        <v>46185</v>
      </c>
      <c r="B1156" t="s">
        <v>33</v>
      </c>
      <c r="C1156" s="2">
        <v>10400</v>
      </c>
      <c r="D1156" t="s">
        <v>89</v>
      </c>
      <c r="E1156" s="16" t="s">
        <v>90</v>
      </c>
      <c r="F1156" s="18">
        <v>46185.435833333337</v>
      </c>
      <c r="G1156" s="23">
        <v>46188.485729166663</v>
      </c>
      <c r="H1156" t="s">
        <v>182</v>
      </c>
      <c r="I1156" s="7"/>
      <c r="K1156">
        <f t="shared" si="54"/>
        <v>0.16259615384615383</v>
      </c>
      <c r="L1156">
        <f t="shared" si="55"/>
        <v>1691</v>
      </c>
      <c r="M1156" t="str">
        <f t="shared" si="56"/>
        <v>2026-06</v>
      </c>
    </row>
    <row r="1157" spans="1:13" x14ac:dyDescent="0.25">
      <c r="A1157" s="1">
        <v>46185</v>
      </c>
      <c r="B1157" t="s">
        <v>35</v>
      </c>
      <c r="C1157" s="2">
        <v>10000</v>
      </c>
      <c r="D1157" t="s">
        <v>89</v>
      </c>
      <c r="E1157" s="16" t="s">
        <v>90</v>
      </c>
      <c r="F1157" s="18">
        <v>46185.503368055557</v>
      </c>
      <c r="G1157" s="23">
        <v>46188.533136574071</v>
      </c>
      <c r="H1157" t="s">
        <v>184</v>
      </c>
      <c r="I1157" s="7"/>
      <c r="K1157">
        <f t="shared" si="54"/>
        <v>0.16619999999999999</v>
      </c>
      <c r="L1157">
        <f t="shared" si="55"/>
        <v>1662</v>
      </c>
      <c r="M1157" t="str">
        <f t="shared" si="56"/>
        <v>2026-06</v>
      </c>
    </row>
    <row r="1158" spans="1:13" x14ac:dyDescent="0.25">
      <c r="A1158" s="1">
        <v>46188</v>
      </c>
      <c r="B1158" t="s">
        <v>35</v>
      </c>
      <c r="C1158" s="2">
        <v>7300</v>
      </c>
      <c r="D1158" t="s">
        <v>89</v>
      </c>
      <c r="E1158" s="16" t="s">
        <v>90</v>
      </c>
      <c r="F1158" s="18">
        <v>46188.632708333331</v>
      </c>
      <c r="G1158" s="23">
        <v>46189.614374999997</v>
      </c>
      <c r="H1158" t="s">
        <v>148</v>
      </c>
      <c r="I1158" s="7"/>
      <c r="K1158">
        <f t="shared" si="54"/>
        <v>0.19356164383561644</v>
      </c>
      <c r="L1158">
        <f t="shared" si="55"/>
        <v>1413</v>
      </c>
      <c r="M1158" t="str">
        <f t="shared" si="56"/>
        <v>2026-06</v>
      </c>
    </row>
    <row r="1159" spans="1:13" x14ac:dyDescent="0.25">
      <c r="A1159" s="1">
        <v>46188</v>
      </c>
      <c r="B1159" t="s">
        <v>101</v>
      </c>
      <c r="C1159" s="2">
        <v>1000</v>
      </c>
      <c r="D1159" t="s">
        <v>89</v>
      </c>
      <c r="E1159" s="16" t="s">
        <v>90</v>
      </c>
      <c r="F1159" s="18">
        <v>46188.479178240741</v>
      </c>
      <c r="G1159" s="23">
        <v>46188.533263888887</v>
      </c>
      <c r="H1159" t="s">
        <v>149</v>
      </c>
      <c r="I1159" s="7"/>
      <c r="K1159">
        <f t="shared" si="54"/>
        <v>7.6999999999999999E-2</v>
      </c>
      <c r="L1159">
        <f t="shared" si="55"/>
        <v>77</v>
      </c>
      <c r="M1159" t="str">
        <f t="shared" si="56"/>
        <v>2026-06</v>
      </c>
    </row>
    <row r="1160" spans="1:13" x14ac:dyDescent="0.25">
      <c r="A1160" s="1">
        <v>46188</v>
      </c>
      <c r="B1160" t="s">
        <v>29</v>
      </c>
      <c r="C1160" s="2">
        <v>2700</v>
      </c>
      <c r="D1160" t="s">
        <v>89</v>
      </c>
      <c r="E1160" s="16" t="s">
        <v>90</v>
      </c>
      <c r="F1160" s="18">
        <v>46188.437488425923</v>
      </c>
      <c r="G1160" s="23">
        <v>46188.479027777779</v>
      </c>
      <c r="H1160" t="s">
        <v>150</v>
      </c>
      <c r="I1160" s="7"/>
      <c r="K1160">
        <f t="shared" si="54"/>
        <v>2.1851851851851851E-2</v>
      </c>
      <c r="L1160">
        <f t="shared" si="55"/>
        <v>59</v>
      </c>
      <c r="M1160" t="str">
        <f t="shared" si="56"/>
        <v>2026-06</v>
      </c>
    </row>
    <row r="1161" spans="1:13" x14ac:dyDescent="0.25">
      <c r="A1161" s="1">
        <v>46189</v>
      </c>
      <c r="B1161" t="s">
        <v>33</v>
      </c>
      <c r="C1161" s="2">
        <v>10400</v>
      </c>
      <c r="D1161" t="s">
        <v>89</v>
      </c>
      <c r="E1161" s="16" t="s">
        <v>90</v>
      </c>
      <c r="F1161" s="18">
        <v>46189.377233796287</v>
      </c>
      <c r="G1161" s="23">
        <v>46190.476793981477</v>
      </c>
      <c r="H1161" t="s">
        <v>151</v>
      </c>
      <c r="I1161" s="7"/>
      <c r="K1161" s="56">
        <f t="shared" si="54"/>
        <v>0.15221153846153845</v>
      </c>
      <c r="L1161">
        <f t="shared" si="55"/>
        <v>1583</v>
      </c>
      <c r="M1161" t="str">
        <f t="shared" si="56"/>
        <v>2026-06</v>
      </c>
    </row>
    <row r="1162" spans="1:13" x14ac:dyDescent="0.25">
      <c r="A1162" s="1">
        <v>46189</v>
      </c>
      <c r="B1162" t="s">
        <v>31</v>
      </c>
      <c r="C1162" s="2">
        <v>10000</v>
      </c>
      <c r="D1162" t="s">
        <v>89</v>
      </c>
      <c r="E1162" s="16" t="s">
        <v>90</v>
      </c>
      <c r="F1162" s="18">
        <v>46192.309270833335</v>
      </c>
      <c r="G1162" s="23">
        <v>46193.457673611112</v>
      </c>
      <c r="H1162" t="s">
        <v>190</v>
      </c>
      <c r="I1162" s="7" t="s">
        <v>216</v>
      </c>
      <c r="K1162">
        <f t="shared" si="54"/>
        <v>0.18149999999999999</v>
      </c>
      <c r="L1162">
        <f t="shared" si="55"/>
        <v>1815</v>
      </c>
      <c r="M1162" t="str">
        <f t="shared" si="56"/>
        <v>2026-06</v>
      </c>
    </row>
    <row r="1163" spans="1:13" x14ac:dyDescent="0.25">
      <c r="A1163" s="1">
        <v>46189</v>
      </c>
      <c r="B1163" t="s">
        <v>113</v>
      </c>
      <c r="C1163" s="2">
        <v>11600</v>
      </c>
      <c r="D1163" t="s">
        <v>89</v>
      </c>
      <c r="E1163" s="16" t="s">
        <v>90</v>
      </c>
      <c r="F1163" s="18">
        <v>46189.614502314813</v>
      </c>
      <c r="G1163" s="23">
        <v>46192.309340277781</v>
      </c>
      <c r="H1163" t="s">
        <v>191</v>
      </c>
      <c r="I1163" s="7" t="s">
        <v>217</v>
      </c>
      <c r="K1163">
        <f t="shared" si="54"/>
        <v>0.17939655172413793</v>
      </c>
      <c r="L1163">
        <f t="shared" si="55"/>
        <v>2081</v>
      </c>
      <c r="M1163" t="str">
        <f t="shared" si="56"/>
        <v>2026-06</v>
      </c>
    </row>
    <row r="1164" spans="1:13" x14ac:dyDescent="0.25">
      <c r="A1164" s="1">
        <v>46191</v>
      </c>
      <c r="B1164" t="s">
        <v>33</v>
      </c>
      <c r="C1164" s="2">
        <v>10400</v>
      </c>
      <c r="D1164" t="s">
        <v>89</v>
      </c>
      <c r="E1164" s="16" t="s">
        <v>90</v>
      </c>
      <c r="F1164" s="18">
        <v>46191.346828703703</v>
      </c>
      <c r="G1164" s="23">
        <v>46192.500648148147</v>
      </c>
      <c r="H1164" t="s">
        <v>183</v>
      </c>
      <c r="I1164" s="7"/>
      <c r="K1164">
        <f t="shared" si="54"/>
        <v>0.15971153846153846</v>
      </c>
      <c r="L1164">
        <f t="shared" si="55"/>
        <v>1661</v>
      </c>
      <c r="M1164" t="str">
        <f t="shared" si="56"/>
        <v>2026-06</v>
      </c>
    </row>
    <row r="1165" spans="1:13" x14ac:dyDescent="0.25">
      <c r="A1165" s="1">
        <v>46191</v>
      </c>
      <c r="B1165" t="s">
        <v>8</v>
      </c>
      <c r="C1165" s="2">
        <v>650</v>
      </c>
      <c r="D1165" t="s">
        <v>89</v>
      </c>
      <c r="E1165" s="16" t="s">
        <v>90</v>
      </c>
      <c r="F1165" s="18">
        <v>46191.387962962966</v>
      </c>
      <c r="G1165" s="23">
        <v>46191.425069444442</v>
      </c>
      <c r="H1165" t="s">
        <v>160</v>
      </c>
      <c r="I1165" s="7"/>
      <c r="K1165">
        <f t="shared" si="54"/>
        <v>8.1538461538461532E-2</v>
      </c>
      <c r="L1165">
        <f t="shared" si="55"/>
        <v>53</v>
      </c>
      <c r="M1165" t="str">
        <f t="shared" si="56"/>
        <v>2026-06</v>
      </c>
    </row>
    <row r="1166" spans="1:13" x14ac:dyDescent="0.25">
      <c r="A1166" s="1">
        <v>46191</v>
      </c>
      <c r="B1166" t="s">
        <v>32</v>
      </c>
      <c r="C1166" s="2">
        <v>4000</v>
      </c>
      <c r="D1166" t="s">
        <v>89</v>
      </c>
      <c r="E1166" s="16" t="s">
        <v>90</v>
      </c>
      <c r="F1166" s="18">
        <v>46191.64303240741</v>
      </c>
      <c r="G1166" s="23">
        <v>46191.684710648151</v>
      </c>
      <c r="H1166" t="s">
        <v>164</v>
      </c>
      <c r="I1166" s="7"/>
      <c r="K1166">
        <f t="shared" si="54"/>
        <v>1.4999999999999999E-2</v>
      </c>
      <c r="L1166">
        <f t="shared" si="55"/>
        <v>60</v>
      </c>
      <c r="M1166" t="str">
        <f t="shared" si="56"/>
        <v>2026-06</v>
      </c>
    </row>
    <row r="1167" spans="1:13" x14ac:dyDescent="0.25">
      <c r="A1167" s="1">
        <v>46191</v>
      </c>
      <c r="B1167" t="s">
        <v>23</v>
      </c>
      <c r="C1167" s="2">
        <v>3750</v>
      </c>
      <c r="D1167" t="s">
        <v>89</v>
      </c>
      <c r="E1167" s="16" t="s">
        <v>90</v>
      </c>
      <c r="F1167" s="18">
        <v>46191.688171296293</v>
      </c>
      <c r="G1167" s="23">
        <v>46191.726909722223</v>
      </c>
      <c r="H1167" t="s">
        <v>165</v>
      </c>
      <c r="I1167" s="7"/>
      <c r="K1167">
        <f t="shared" si="54"/>
        <v>1.9199999999999998E-2</v>
      </c>
      <c r="L1167">
        <f t="shared" si="55"/>
        <v>72</v>
      </c>
      <c r="M1167" t="str">
        <f t="shared" si="56"/>
        <v>2026-06</v>
      </c>
    </row>
    <row r="1168" spans="1:13" x14ac:dyDescent="0.25">
      <c r="A1168" s="1">
        <v>46192</v>
      </c>
      <c r="B1168" t="s">
        <v>22</v>
      </c>
      <c r="C1168" s="2">
        <v>340</v>
      </c>
      <c r="D1168" t="s">
        <v>89</v>
      </c>
      <c r="E1168" s="16" t="s">
        <v>90</v>
      </c>
      <c r="F1168" s="18">
        <v>46192.487835648149</v>
      </c>
      <c r="G1168" s="23">
        <v>46192.498611111114</v>
      </c>
      <c r="H1168" t="s">
        <v>181</v>
      </c>
      <c r="I1168" s="7"/>
      <c r="K1168">
        <f t="shared" si="54"/>
        <v>4.7058823529411764E-2</v>
      </c>
      <c r="L1168">
        <f t="shared" si="55"/>
        <v>16</v>
      </c>
      <c r="M1168" t="str">
        <f t="shared" si="56"/>
        <v>2026-06</v>
      </c>
    </row>
    <row r="1169" spans="1:13" x14ac:dyDescent="0.25">
      <c r="A1169" s="1">
        <v>46192</v>
      </c>
      <c r="B1169" t="s">
        <v>215</v>
      </c>
      <c r="C1169" s="2">
        <v>2000</v>
      </c>
      <c r="D1169" t="s">
        <v>89</v>
      </c>
      <c r="E1169" s="16" t="s">
        <v>90</v>
      </c>
      <c r="F1169" s="18">
        <v>46192.529502314814</v>
      </c>
      <c r="G1169" s="23">
        <v>46192.540277777778</v>
      </c>
      <c r="H1169" t="s">
        <v>192</v>
      </c>
      <c r="I1169" s="7"/>
      <c r="K1169">
        <f t="shared" si="54"/>
        <v>4.4999999999999998E-2</v>
      </c>
      <c r="L1169">
        <f t="shared" si="55"/>
        <v>90</v>
      </c>
      <c r="M1169" t="str">
        <f t="shared" si="56"/>
        <v>2026-06</v>
      </c>
    </row>
    <row r="1170" spans="1:13" x14ac:dyDescent="0.25">
      <c r="A1170" s="1">
        <v>46195</v>
      </c>
      <c r="B1170" t="s">
        <v>30</v>
      </c>
      <c r="C1170" s="2">
        <v>8500</v>
      </c>
      <c r="D1170" t="s">
        <v>221</v>
      </c>
      <c r="F1170" s="18">
        <v>46195.616041666668</v>
      </c>
      <c r="G1170" s="23"/>
      <c r="H1170" t="s">
        <v>220</v>
      </c>
      <c r="I1170" s="7"/>
      <c r="J1170">
        <v>186.01666666916572</v>
      </c>
      <c r="K1170" t="str">
        <f t="shared" si="54"/>
        <v/>
      </c>
      <c r="L1170" t="str">
        <f t="shared" si="55"/>
        <v/>
      </c>
      <c r="M1170" t="str">
        <f t="shared" si="56"/>
        <v>2026-06</v>
      </c>
    </row>
    <row r="1171" spans="1:13" x14ac:dyDescent="0.25">
      <c r="A1171" s="1">
        <v>46195</v>
      </c>
      <c r="B1171" t="s">
        <v>12</v>
      </c>
      <c r="C1171" s="2">
        <v>2000</v>
      </c>
      <c r="D1171" t="s">
        <v>89</v>
      </c>
      <c r="E1171" s="16" t="s">
        <v>90</v>
      </c>
      <c r="F1171" s="18">
        <v>46195.403402777774</v>
      </c>
      <c r="G1171" s="23">
        <v>46195.503055555557</v>
      </c>
      <c r="H1171" t="s">
        <v>140</v>
      </c>
      <c r="I1171" s="7"/>
      <c r="K1171">
        <f t="shared" si="54"/>
        <v>7.1999999999999995E-2</v>
      </c>
      <c r="L1171">
        <f t="shared" si="55"/>
        <v>144</v>
      </c>
      <c r="M1171" t="str">
        <f t="shared" si="56"/>
        <v>2026-06</v>
      </c>
    </row>
    <row r="1172" spans="1:13" x14ac:dyDescent="0.25">
      <c r="A1172" s="1">
        <v>46195</v>
      </c>
      <c r="B1172" t="s">
        <v>32</v>
      </c>
      <c r="C1172" s="2">
        <v>6000</v>
      </c>
      <c r="D1172" t="s">
        <v>89</v>
      </c>
      <c r="E1172" s="16" t="s">
        <v>90</v>
      </c>
      <c r="F1172" s="18">
        <v>46195.562731481485</v>
      </c>
      <c r="G1172" s="23">
        <v>46195.592245370368</v>
      </c>
      <c r="H1172" t="s">
        <v>222</v>
      </c>
      <c r="I1172" s="7"/>
      <c r="K1172">
        <f t="shared" si="54"/>
        <v>0</v>
      </c>
      <c r="L1172">
        <f t="shared" si="55"/>
        <v>0</v>
      </c>
      <c r="M1172" t="str">
        <f t="shared" si="56"/>
        <v>2026-06</v>
      </c>
    </row>
    <row r="1173" spans="1:13" x14ac:dyDescent="0.25">
      <c r="A1173" s="1">
        <v>46195</v>
      </c>
      <c r="B1173" t="s">
        <v>3</v>
      </c>
      <c r="C1173" s="2">
        <v>1200</v>
      </c>
      <c r="D1173" t="s">
        <v>89</v>
      </c>
      <c r="E1173" s="16" t="s">
        <v>90</v>
      </c>
      <c r="F1173" s="18">
        <v>46195.479756944442</v>
      </c>
      <c r="G1173" s="23">
        <v>46195.503449074073</v>
      </c>
      <c r="H1173" t="s">
        <v>219</v>
      </c>
      <c r="I1173" s="7"/>
      <c r="K1173">
        <f t="shared" si="54"/>
        <v>2.8333333333333332E-2</v>
      </c>
      <c r="L1173">
        <f t="shared" si="55"/>
        <v>34</v>
      </c>
      <c r="M1173" t="str">
        <f t="shared" si="56"/>
        <v>2026-06</v>
      </c>
    </row>
    <row r="1174" spans="1:13" x14ac:dyDescent="0.25">
      <c r="F1174" s="18"/>
      <c r="G1174" s="17"/>
    </row>
    <row r="1175" spans="1:13" x14ac:dyDescent="0.25">
      <c r="F1175" s="18"/>
      <c r="G1175" s="17"/>
    </row>
    <row r="1176" spans="1:13" x14ac:dyDescent="0.25">
      <c r="F1176" s="18"/>
      <c r="G1176" s="17"/>
    </row>
    <row r="1177" spans="1:13" x14ac:dyDescent="0.25">
      <c r="F1177" s="18"/>
      <c r="G1177" s="17"/>
    </row>
    <row r="1178" spans="1:13" x14ac:dyDescent="0.25">
      <c r="F1178" s="18"/>
      <c r="G1178" s="17"/>
    </row>
    <row r="1179" spans="1:13" x14ac:dyDescent="0.25">
      <c r="F1179" s="18"/>
      <c r="G1179" s="17"/>
    </row>
    <row r="1180" spans="1:13" x14ac:dyDescent="0.25">
      <c r="F1180" s="18"/>
      <c r="G1180" s="17"/>
    </row>
    <row r="1181" spans="1:13" x14ac:dyDescent="0.25">
      <c r="F1181" s="18"/>
      <c r="G1181" s="17"/>
    </row>
    <row r="1182" spans="1:13" x14ac:dyDescent="0.25">
      <c r="F1182" s="18"/>
      <c r="G1182" s="17"/>
    </row>
    <row r="1183" spans="1:13" x14ac:dyDescent="0.25">
      <c r="F1183" s="18"/>
      <c r="G1183" s="17"/>
    </row>
    <row r="1184" spans="1:13" x14ac:dyDescent="0.25">
      <c r="F1184" s="18"/>
      <c r="G1184" s="17"/>
    </row>
    <row r="1185" spans="6:7" x14ac:dyDescent="0.25">
      <c r="F1185" s="18"/>
      <c r="G1185" s="17"/>
    </row>
    <row r="1186" spans="6:7" x14ac:dyDescent="0.25">
      <c r="F1186" s="18"/>
      <c r="G1186" s="17"/>
    </row>
    <row r="1187" spans="6:7" x14ac:dyDescent="0.25">
      <c r="F1187" s="18"/>
      <c r="G1187" s="17"/>
    </row>
    <row r="1188" spans="6:7" x14ac:dyDescent="0.25">
      <c r="F1188" s="18"/>
      <c r="G1188" s="17"/>
    </row>
    <row r="1189" spans="6:7" x14ac:dyDescent="0.25">
      <c r="F1189" s="18"/>
      <c r="G1189" s="17"/>
    </row>
    <row r="1190" spans="6:7" x14ac:dyDescent="0.25">
      <c r="F1190" s="18"/>
      <c r="G1190" s="17"/>
    </row>
    <row r="1191" spans="6:7" x14ac:dyDescent="0.25">
      <c r="F1191" s="18"/>
      <c r="G1191" s="17"/>
    </row>
    <row r="1192" spans="6:7" x14ac:dyDescent="0.25">
      <c r="F1192" s="18"/>
      <c r="G1192" s="17"/>
    </row>
    <row r="1193" spans="6:7" x14ac:dyDescent="0.25">
      <c r="F1193" s="18"/>
      <c r="G1193" s="17"/>
    </row>
    <row r="1194" spans="6:7" x14ac:dyDescent="0.25">
      <c r="F1194" s="18"/>
      <c r="G1194" s="17"/>
    </row>
    <row r="1195" spans="6:7" x14ac:dyDescent="0.25">
      <c r="F1195" s="18"/>
      <c r="G1195" s="17"/>
    </row>
    <row r="1196" spans="6:7" x14ac:dyDescent="0.25">
      <c r="F1196" s="18"/>
      <c r="G1196" s="17"/>
    </row>
    <row r="1197" spans="6:7" x14ac:dyDescent="0.25">
      <c r="F1197" s="18"/>
      <c r="G1197" s="17"/>
    </row>
    <row r="1198" spans="6:7" x14ac:dyDescent="0.25">
      <c r="F1198" s="18"/>
      <c r="G1198" s="17"/>
    </row>
    <row r="1199" spans="6:7" x14ac:dyDescent="0.25">
      <c r="F1199" s="18"/>
      <c r="G1199" s="17"/>
    </row>
    <row r="1200" spans="6:7" x14ac:dyDescent="0.25">
      <c r="F1200" s="18"/>
      <c r="G1200" s="17"/>
    </row>
    <row r="1201" spans="6:7" x14ac:dyDescent="0.25">
      <c r="F1201" s="18"/>
      <c r="G1201" s="17"/>
    </row>
    <row r="1202" spans="6:7" x14ac:dyDescent="0.25">
      <c r="F1202" s="18"/>
      <c r="G1202" s="17"/>
    </row>
    <row r="1203" spans="6:7" x14ac:dyDescent="0.25">
      <c r="F1203" s="18"/>
      <c r="G1203" s="17"/>
    </row>
    <row r="1204" spans="6:7" x14ac:dyDescent="0.25">
      <c r="F1204" s="18"/>
      <c r="G1204" s="17"/>
    </row>
    <row r="1205" spans="6:7" x14ac:dyDescent="0.25">
      <c r="F1205" s="18"/>
      <c r="G1205" s="17"/>
    </row>
    <row r="1206" spans="6:7" x14ac:dyDescent="0.25">
      <c r="F1206" s="18"/>
      <c r="G1206" s="17"/>
    </row>
    <row r="1207" spans="6:7" x14ac:dyDescent="0.25">
      <c r="F1207" s="18"/>
      <c r="G1207" s="17"/>
    </row>
    <row r="1208" spans="6:7" x14ac:dyDescent="0.25">
      <c r="F1208" s="18"/>
      <c r="G1208" s="17"/>
    </row>
    <row r="1209" spans="6:7" x14ac:dyDescent="0.25">
      <c r="F1209" s="18"/>
      <c r="G1209" s="17"/>
    </row>
    <row r="1210" spans="6:7" x14ac:dyDescent="0.25">
      <c r="F1210" s="18"/>
      <c r="G1210" s="17"/>
    </row>
    <row r="1211" spans="6:7" x14ac:dyDescent="0.25">
      <c r="F1211" s="18"/>
      <c r="G1211" s="17"/>
    </row>
    <row r="1212" spans="6:7" x14ac:dyDescent="0.25">
      <c r="F1212" s="18"/>
      <c r="G1212" s="17"/>
    </row>
    <row r="1213" spans="6:7" x14ac:dyDescent="0.25">
      <c r="F1213" s="18"/>
      <c r="G1213" s="17"/>
    </row>
    <row r="1214" spans="6:7" x14ac:dyDescent="0.25">
      <c r="F1214" s="18"/>
      <c r="G1214" s="17"/>
    </row>
    <row r="1215" spans="6:7" x14ac:dyDescent="0.25">
      <c r="F1215" s="18"/>
      <c r="G1215" s="17"/>
    </row>
    <row r="1216" spans="6:7" x14ac:dyDescent="0.25">
      <c r="F1216" s="18"/>
      <c r="G1216" s="17"/>
    </row>
    <row r="1217" spans="6:7" x14ac:dyDescent="0.25">
      <c r="F1217" s="18"/>
      <c r="G1217" s="17"/>
    </row>
    <row r="1218" spans="6:7" x14ac:dyDescent="0.25">
      <c r="F1218" s="18"/>
      <c r="G1218" s="17"/>
    </row>
    <row r="1219" spans="6:7" x14ac:dyDescent="0.25">
      <c r="F1219" s="18"/>
      <c r="G1219" s="17"/>
    </row>
    <row r="1220" spans="6:7" x14ac:dyDescent="0.25">
      <c r="F1220" s="18"/>
      <c r="G1220" s="17"/>
    </row>
    <row r="1221" spans="6:7" x14ac:dyDescent="0.25">
      <c r="F1221" s="18"/>
      <c r="G1221" s="17"/>
    </row>
    <row r="1222" spans="6:7" x14ac:dyDescent="0.25">
      <c r="F1222" s="18"/>
      <c r="G1222" s="17"/>
    </row>
    <row r="1223" spans="6:7" x14ac:dyDescent="0.25">
      <c r="F1223" s="18"/>
      <c r="G1223" s="17"/>
    </row>
    <row r="1224" spans="6:7" x14ac:dyDescent="0.25">
      <c r="F1224" s="18"/>
      <c r="G1224" s="17"/>
    </row>
    <row r="1225" spans="6:7" x14ac:dyDescent="0.25">
      <c r="F1225" s="18"/>
      <c r="G1225" s="17"/>
    </row>
    <row r="1226" spans="6:7" x14ac:dyDescent="0.25">
      <c r="F1226" s="18"/>
      <c r="G1226" s="17"/>
    </row>
    <row r="1227" spans="6:7" x14ac:dyDescent="0.25">
      <c r="F1227" s="18"/>
      <c r="G1227" s="17"/>
    </row>
    <row r="1228" spans="6:7" x14ac:dyDescent="0.25">
      <c r="F1228" s="18"/>
      <c r="G1228" s="17"/>
    </row>
    <row r="1229" spans="6:7" x14ac:dyDescent="0.25">
      <c r="F1229" s="18"/>
      <c r="G1229" s="17"/>
    </row>
    <row r="1230" spans="6:7" x14ac:dyDescent="0.25">
      <c r="F1230" s="18"/>
      <c r="G1230" s="17"/>
    </row>
    <row r="1231" spans="6:7" x14ac:dyDescent="0.25">
      <c r="F1231" s="18"/>
      <c r="G1231" s="17"/>
    </row>
    <row r="1232" spans="6:7" x14ac:dyDescent="0.25">
      <c r="F1232" s="18"/>
      <c r="G1232" s="17"/>
    </row>
    <row r="1233" spans="6:7" x14ac:dyDescent="0.25">
      <c r="F1233" s="18"/>
      <c r="G1233" s="17"/>
    </row>
    <row r="1234" spans="6:7" x14ac:dyDescent="0.25">
      <c r="F1234" s="18"/>
      <c r="G1234" s="17"/>
    </row>
    <row r="1235" spans="6:7" x14ac:dyDescent="0.25">
      <c r="F1235" s="18"/>
      <c r="G1235" s="17"/>
    </row>
    <row r="1236" spans="6:7" x14ac:dyDescent="0.25">
      <c r="F1236" s="18"/>
      <c r="G1236" s="17"/>
    </row>
    <row r="1237" spans="6:7" x14ac:dyDescent="0.25">
      <c r="F1237" s="18"/>
      <c r="G1237" s="17"/>
    </row>
    <row r="1238" spans="6:7" x14ac:dyDescent="0.25">
      <c r="F1238" s="18"/>
      <c r="G1238" s="17"/>
    </row>
    <row r="1239" spans="6:7" x14ac:dyDescent="0.25">
      <c r="F1239" s="18"/>
      <c r="G1239" s="17"/>
    </row>
    <row r="1240" spans="6:7" x14ac:dyDescent="0.25">
      <c r="F1240" s="18"/>
      <c r="G1240" s="17"/>
    </row>
    <row r="1241" spans="6:7" x14ac:dyDescent="0.25">
      <c r="F1241" s="18"/>
      <c r="G1241" s="17"/>
    </row>
    <row r="1242" spans="6:7" x14ac:dyDescent="0.25">
      <c r="F1242" s="18"/>
      <c r="G1242" s="17"/>
    </row>
    <row r="1243" spans="6:7" x14ac:dyDescent="0.25">
      <c r="F1243" s="18"/>
      <c r="G1243" s="17"/>
    </row>
    <row r="1244" spans="6:7" x14ac:dyDescent="0.25">
      <c r="F1244" s="18"/>
      <c r="G1244" s="17"/>
    </row>
    <row r="1245" spans="6:7" x14ac:dyDescent="0.25">
      <c r="F1245" s="18"/>
      <c r="G1245" s="17"/>
    </row>
    <row r="1246" spans="6:7" x14ac:dyDescent="0.25">
      <c r="F1246" s="18"/>
      <c r="G1246" s="17"/>
    </row>
    <row r="1247" spans="6:7" x14ac:dyDescent="0.25">
      <c r="F1247" s="18"/>
      <c r="G1247" s="17"/>
    </row>
    <row r="1248" spans="6:7" x14ac:dyDescent="0.25">
      <c r="F1248" s="18"/>
      <c r="G1248" s="17"/>
    </row>
    <row r="1249" spans="6:7" x14ac:dyDescent="0.25">
      <c r="F1249" s="18"/>
      <c r="G1249" s="17"/>
    </row>
    <row r="1250" spans="6:7" x14ac:dyDescent="0.25">
      <c r="F1250" s="18"/>
      <c r="G1250" s="17"/>
    </row>
    <row r="1251" spans="6:7" x14ac:dyDescent="0.25">
      <c r="F1251" s="18"/>
      <c r="G1251" s="17"/>
    </row>
    <row r="1252" spans="6:7" x14ac:dyDescent="0.25">
      <c r="F1252" s="18"/>
      <c r="G1252" s="17"/>
    </row>
    <row r="1253" spans="6:7" x14ac:dyDescent="0.25">
      <c r="F1253" s="18"/>
      <c r="G1253" s="17"/>
    </row>
    <row r="1254" spans="6:7" x14ac:dyDescent="0.25">
      <c r="F1254" s="18"/>
      <c r="G1254" s="17"/>
    </row>
    <row r="1255" spans="6:7" x14ac:dyDescent="0.25">
      <c r="F1255" s="18"/>
      <c r="G1255" s="17"/>
    </row>
    <row r="1256" spans="6:7" x14ac:dyDescent="0.25">
      <c r="F1256" s="18"/>
      <c r="G1256" s="17"/>
    </row>
    <row r="1257" spans="6:7" x14ac:dyDescent="0.25">
      <c r="F1257" s="18"/>
      <c r="G1257" s="17"/>
    </row>
    <row r="1258" spans="6:7" x14ac:dyDescent="0.25">
      <c r="F1258" s="18"/>
      <c r="G1258" s="17"/>
    </row>
    <row r="1259" spans="6:7" x14ac:dyDescent="0.25">
      <c r="F1259" s="18"/>
      <c r="G1259" s="17"/>
    </row>
    <row r="1260" spans="6:7" x14ac:dyDescent="0.25">
      <c r="F1260" s="18"/>
      <c r="G1260" s="17"/>
    </row>
    <row r="1261" spans="6:7" x14ac:dyDescent="0.25">
      <c r="F1261" s="18"/>
      <c r="G1261" s="17"/>
    </row>
    <row r="1262" spans="6:7" x14ac:dyDescent="0.25">
      <c r="F1262" s="18"/>
      <c r="G1262" s="17"/>
    </row>
    <row r="1263" spans="6:7" x14ac:dyDescent="0.25">
      <c r="F1263" s="18"/>
      <c r="G1263" s="17"/>
    </row>
    <row r="1264" spans="6:7" x14ac:dyDescent="0.25">
      <c r="F1264" s="18"/>
      <c r="G1264" s="17"/>
    </row>
    <row r="1265" spans="6:7" x14ac:dyDescent="0.25">
      <c r="F1265" s="18"/>
      <c r="G1265" s="17"/>
    </row>
    <row r="1266" spans="6:7" x14ac:dyDescent="0.25">
      <c r="F1266" s="18"/>
      <c r="G1266" s="17"/>
    </row>
    <row r="1267" spans="6:7" x14ac:dyDescent="0.25">
      <c r="F1267" s="18"/>
      <c r="G1267" s="17"/>
    </row>
    <row r="1268" spans="6:7" x14ac:dyDescent="0.25">
      <c r="F1268" s="18"/>
      <c r="G1268" s="17"/>
    </row>
    <row r="1269" spans="6:7" x14ac:dyDescent="0.25">
      <c r="F1269" s="18"/>
      <c r="G1269" s="17"/>
    </row>
    <row r="1270" spans="6:7" x14ac:dyDescent="0.25">
      <c r="F1270" s="18"/>
      <c r="G1270" s="17"/>
    </row>
    <row r="1271" spans="6:7" x14ac:dyDescent="0.25">
      <c r="F1271" s="18"/>
      <c r="G1271" s="17"/>
    </row>
    <row r="1272" spans="6:7" x14ac:dyDescent="0.25">
      <c r="F1272" s="18"/>
      <c r="G1272" s="17"/>
    </row>
    <row r="1273" spans="6:7" x14ac:dyDescent="0.25">
      <c r="F1273" s="18"/>
      <c r="G1273" s="17"/>
    </row>
    <row r="1274" spans="6:7" x14ac:dyDescent="0.25">
      <c r="F1274" s="18"/>
      <c r="G1274" s="17"/>
    </row>
    <row r="1275" spans="6:7" x14ac:dyDescent="0.25">
      <c r="F1275" s="18"/>
      <c r="G1275" s="17"/>
    </row>
    <row r="1276" spans="6:7" x14ac:dyDescent="0.25">
      <c r="F1276" s="18"/>
      <c r="G1276" s="17"/>
    </row>
    <row r="1277" spans="6:7" x14ac:dyDescent="0.25">
      <c r="F1277" s="18"/>
      <c r="G1277" s="17"/>
    </row>
    <row r="1278" spans="6:7" x14ac:dyDescent="0.25">
      <c r="F1278" s="18"/>
      <c r="G1278" s="17"/>
    </row>
    <row r="1279" spans="6:7" x14ac:dyDescent="0.25">
      <c r="F1279" s="18"/>
      <c r="G1279" s="17"/>
    </row>
    <row r="1280" spans="6:7" x14ac:dyDescent="0.25">
      <c r="F1280" s="18"/>
      <c r="G1280" s="17"/>
    </row>
    <row r="1281" spans="6:7" x14ac:dyDescent="0.25">
      <c r="F1281" s="18"/>
      <c r="G1281" s="17"/>
    </row>
    <row r="1282" spans="6:7" x14ac:dyDescent="0.25">
      <c r="F1282" s="18"/>
      <c r="G1282" s="17"/>
    </row>
    <row r="1283" spans="6:7" x14ac:dyDescent="0.25">
      <c r="F1283" s="18"/>
      <c r="G1283" s="17"/>
    </row>
    <row r="1284" spans="6:7" x14ac:dyDescent="0.25">
      <c r="F1284" s="18"/>
      <c r="G1284" s="17"/>
    </row>
    <row r="1285" spans="6:7" x14ac:dyDescent="0.25">
      <c r="F1285" s="18"/>
      <c r="G1285" s="17"/>
    </row>
    <row r="1286" spans="6:7" x14ac:dyDescent="0.25">
      <c r="F1286" s="18"/>
      <c r="G1286" s="17"/>
    </row>
    <row r="1287" spans="6:7" x14ac:dyDescent="0.25">
      <c r="F1287" s="18"/>
      <c r="G1287" s="17"/>
    </row>
    <row r="1288" spans="6:7" x14ac:dyDescent="0.25">
      <c r="F1288" s="18"/>
      <c r="G1288" s="17"/>
    </row>
    <row r="1289" spans="6:7" x14ac:dyDescent="0.25">
      <c r="F1289" s="18"/>
      <c r="G1289" s="17"/>
    </row>
    <row r="1290" spans="6:7" x14ac:dyDescent="0.25">
      <c r="F1290" s="18"/>
      <c r="G1290" s="17"/>
    </row>
    <row r="1291" spans="6:7" x14ac:dyDescent="0.25">
      <c r="F1291" s="18"/>
      <c r="G1291" s="17"/>
    </row>
    <row r="1292" spans="6:7" x14ac:dyDescent="0.25">
      <c r="F1292" s="18"/>
      <c r="G1292" s="17"/>
    </row>
    <row r="1293" spans="6:7" x14ac:dyDescent="0.25">
      <c r="F1293" s="18"/>
      <c r="G1293" s="17"/>
    </row>
    <row r="1294" spans="6:7" x14ac:dyDescent="0.25">
      <c r="F1294" s="18"/>
      <c r="G1294" s="17"/>
    </row>
    <row r="1295" spans="6:7" x14ac:dyDescent="0.25">
      <c r="F1295" s="18"/>
      <c r="G1295" s="17"/>
    </row>
    <row r="1296" spans="6:7" x14ac:dyDescent="0.25">
      <c r="F1296" s="18"/>
      <c r="G1296" s="17"/>
    </row>
    <row r="1297" spans="6:7" x14ac:dyDescent="0.25">
      <c r="F1297" s="18"/>
      <c r="G1297" s="17"/>
    </row>
    <row r="1298" spans="6:7" x14ac:dyDescent="0.25">
      <c r="F1298" s="18"/>
      <c r="G1298" s="17"/>
    </row>
    <row r="1299" spans="6:7" x14ac:dyDescent="0.25">
      <c r="F1299" s="18"/>
      <c r="G1299" s="17"/>
    </row>
    <row r="1300" spans="6:7" x14ac:dyDescent="0.25">
      <c r="F1300" s="18"/>
      <c r="G1300" s="17"/>
    </row>
    <row r="1301" spans="6:7" x14ac:dyDescent="0.25">
      <c r="F1301" s="18"/>
      <c r="G1301" s="17"/>
    </row>
    <row r="1302" spans="6:7" x14ac:dyDescent="0.25">
      <c r="F1302" s="18"/>
      <c r="G1302" s="17"/>
    </row>
    <row r="1303" spans="6:7" x14ac:dyDescent="0.25">
      <c r="F1303" s="18"/>
      <c r="G1303" s="17"/>
    </row>
    <row r="1304" spans="6:7" x14ac:dyDescent="0.25">
      <c r="F1304" s="18"/>
      <c r="G1304" s="17"/>
    </row>
    <row r="1305" spans="6:7" x14ac:dyDescent="0.25">
      <c r="F1305" s="18"/>
      <c r="G1305" s="17"/>
    </row>
    <row r="1306" spans="6:7" x14ac:dyDescent="0.25">
      <c r="F1306" s="18"/>
      <c r="G1306" s="17"/>
    </row>
    <row r="1307" spans="6:7" x14ac:dyDescent="0.25">
      <c r="F1307" s="18"/>
      <c r="G1307" s="17"/>
    </row>
    <row r="1308" spans="6:7" x14ac:dyDescent="0.25">
      <c r="F1308" s="18"/>
      <c r="G1308" s="17"/>
    </row>
    <row r="1309" spans="6:7" x14ac:dyDescent="0.25">
      <c r="F1309" s="18"/>
      <c r="G1309" s="17"/>
    </row>
    <row r="1310" spans="6:7" x14ac:dyDescent="0.25">
      <c r="F1310" s="18"/>
      <c r="G1310" s="17"/>
    </row>
    <row r="1311" spans="6:7" x14ac:dyDescent="0.25">
      <c r="F1311" s="18"/>
      <c r="G1311" s="17"/>
    </row>
    <row r="1312" spans="6:7" x14ac:dyDescent="0.25">
      <c r="F1312" s="18"/>
      <c r="G1312" s="17"/>
    </row>
    <row r="1313" spans="6:7" x14ac:dyDescent="0.25">
      <c r="F1313" s="18"/>
      <c r="G1313" s="17"/>
    </row>
    <row r="1314" spans="6:7" x14ac:dyDescent="0.25">
      <c r="F1314" s="18"/>
      <c r="G1314" s="17"/>
    </row>
    <row r="1315" spans="6:7" x14ac:dyDescent="0.25">
      <c r="F1315" s="18"/>
      <c r="G1315" s="17"/>
    </row>
    <row r="1316" spans="6:7" x14ac:dyDescent="0.25">
      <c r="F1316" s="18"/>
      <c r="G1316" s="17"/>
    </row>
    <row r="1317" spans="6:7" x14ac:dyDescent="0.25">
      <c r="F1317" s="18"/>
      <c r="G1317" s="17"/>
    </row>
    <row r="1318" spans="6:7" x14ac:dyDescent="0.25">
      <c r="F1318" s="18"/>
      <c r="G1318" s="17"/>
    </row>
    <row r="1319" spans="6:7" x14ac:dyDescent="0.25">
      <c r="F1319" s="18"/>
      <c r="G1319" s="17"/>
    </row>
    <row r="1320" spans="6:7" x14ac:dyDescent="0.25">
      <c r="F1320" s="18"/>
      <c r="G1320" s="17"/>
    </row>
    <row r="1321" spans="6:7" x14ac:dyDescent="0.25">
      <c r="F1321" s="18"/>
      <c r="G1321" s="17"/>
    </row>
    <row r="1322" spans="6:7" x14ac:dyDescent="0.25">
      <c r="F1322" s="18"/>
      <c r="G1322" s="17"/>
    </row>
    <row r="1323" spans="6:7" x14ac:dyDescent="0.25">
      <c r="F1323" s="18"/>
      <c r="G1323" s="17"/>
    </row>
    <row r="1324" spans="6:7" x14ac:dyDescent="0.25">
      <c r="F1324" s="18"/>
      <c r="G1324" s="17"/>
    </row>
    <row r="1325" spans="6:7" x14ac:dyDescent="0.25">
      <c r="F1325" s="18"/>
      <c r="G1325" s="17"/>
    </row>
    <row r="1326" spans="6:7" x14ac:dyDescent="0.25">
      <c r="F1326" s="18"/>
      <c r="G1326" s="17"/>
    </row>
    <row r="1327" spans="6:7" x14ac:dyDescent="0.25">
      <c r="F1327" s="18"/>
      <c r="G1327" s="17"/>
    </row>
    <row r="1328" spans="6:7" x14ac:dyDescent="0.25">
      <c r="F1328" s="18"/>
      <c r="G1328" s="17"/>
    </row>
    <row r="1329" spans="6:7" x14ac:dyDescent="0.25">
      <c r="F1329" s="18"/>
      <c r="G1329" s="17"/>
    </row>
    <row r="1330" spans="6:7" x14ac:dyDescent="0.25">
      <c r="F1330" s="18"/>
      <c r="G1330" s="17"/>
    </row>
    <row r="1331" spans="6:7" x14ac:dyDescent="0.25">
      <c r="F1331" s="18"/>
      <c r="G1331" s="17"/>
    </row>
    <row r="1332" spans="6:7" x14ac:dyDescent="0.25">
      <c r="F1332" s="18"/>
      <c r="G1332" s="17"/>
    </row>
    <row r="1333" spans="6:7" x14ac:dyDescent="0.25">
      <c r="F1333" s="18"/>
      <c r="G1333" s="17"/>
    </row>
    <row r="1334" spans="6:7" x14ac:dyDescent="0.25">
      <c r="F1334" s="18"/>
      <c r="G1334" s="17"/>
    </row>
    <row r="1335" spans="6:7" x14ac:dyDescent="0.25">
      <c r="F1335" s="18"/>
      <c r="G1335" s="17"/>
    </row>
    <row r="1336" spans="6:7" x14ac:dyDescent="0.25">
      <c r="F1336" s="18"/>
      <c r="G1336" s="17"/>
    </row>
    <row r="1337" spans="6:7" x14ac:dyDescent="0.25">
      <c r="F1337" s="18"/>
      <c r="G1337" s="17"/>
    </row>
    <row r="1338" spans="6:7" x14ac:dyDescent="0.25">
      <c r="F1338" s="18"/>
      <c r="G1338" s="17"/>
    </row>
    <row r="1339" spans="6:7" x14ac:dyDescent="0.25">
      <c r="F1339" s="18"/>
      <c r="G1339" s="17"/>
    </row>
    <row r="1340" spans="6:7" x14ac:dyDescent="0.25">
      <c r="F1340" s="18"/>
      <c r="G1340" s="17"/>
    </row>
    <row r="1341" spans="6:7" x14ac:dyDescent="0.25">
      <c r="F1341" s="18"/>
      <c r="G1341" s="17"/>
    </row>
    <row r="1342" spans="6:7" x14ac:dyDescent="0.25">
      <c r="F1342" s="18"/>
      <c r="G1342" s="17"/>
    </row>
    <row r="1343" spans="6:7" x14ac:dyDescent="0.25">
      <c r="F1343" s="18"/>
      <c r="G1343" s="17"/>
    </row>
    <row r="1344" spans="6:7" x14ac:dyDescent="0.25">
      <c r="F1344" s="18"/>
      <c r="G1344" s="17"/>
    </row>
    <row r="1345" spans="6:7" x14ac:dyDescent="0.25">
      <c r="F1345" s="18"/>
      <c r="G1345" s="17"/>
    </row>
    <row r="1346" spans="6:7" x14ac:dyDescent="0.25">
      <c r="F1346" s="18"/>
      <c r="G1346" s="17"/>
    </row>
    <row r="1347" spans="6:7" x14ac:dyDescent="0.25">
      <c r="F1347" s="18"/>
      <c r="G1347" s="17"/>
    </row>
    <row r="1348" spans="6:7" x14ac:dyDescent="0.25">
      <c r="F1348" s="18"/>
      <c r="G1348" s="17"/>
    </row>
    <row r="1349" spans="6:7" x14ac:dyDescent="0.25">
      <c r="F1349" s="18"/>
      <c r="G1349" s="17"/>
    </row>
    <row r="1350" spans="6:7" x14ac:dyDescent="0.25">
      <c r="F1350" s="18"/>
      <c r="G1350" s="17"/>
    </row>
    <row r="1351" spans="6:7" x14ac:dyDescent="0.25">
      <c r="F1351" s="18"/>
      <c r="G1351" s="17"/>
    </row>
    <row r="1352" spans="6:7" x14ac:dyDescent="0.25">
      <c r="F1352" s="18"/>
      <c r="G1352" s="17"/>
    </row>
    <row r="1353" spans="6:7" x14ac:dyDescent="0.25">
      <c r="F1353" s="18"/>
      <c r="G1353" s="17"/>
    </row>
    <row r="1354" spans="6:7" x14ac:dyDescent="0.25">
      <c r="F1354" s="18"/>
      <c r="G1354" s="17"/>
    </row>
    <row r="1355" spans="6:7" x14ac:dyDescent="0.25">
      <c r="F1355" s="18"/>
      <c r="G1355" s="17"/>
    </row>
    <row r="1356" spans="6:7" x14ac:dyDescent="0.25">
      <c r="F1356" s="18"/>
      <c r="G1356" s="17"/>
    </row>
    <row r="1357" spans="6:7" x14ac:dyDescent="0.25">
      <c r="F1357" s="18"/>
      <c r="G1357" s="17"/>
    </row>
    <row r="1358" spans="6:7" x14ac:dyDescent="0.25">
      <c r="F1358" s="18"/>
      <c r="G1358" s="17"/>
    </row>
    <row r="1359" spans="6:7" x14ac:dyDescent="0.25">
      <c r="F1359" s="18"/>
      <c r="G1359" s="17"/>
    </row>
    <row r="1360" spans="6:7" x14ac:dyDescent="0.25">
      <c r="F1360" s="18"/>
      <c r="G1360" s="17"/>
    </row>
    <row r="1361" spans="6:7" x14ac:dyDescent="0.25">
      <c r="F1361" s="18"/>
      <c r="G1361" s="17"/>
    </row>
    <row r="1362" spans="6:7" x14ac:dyDescent="0.25">
      <c r="F1362" s="18"/>
      <c r="G1362" s="17"/>
    </row>
    <row r="1363" spans="6:7" x14ac:dyDescent="0.25">
      <c r="F1363" s="18"/>
      <c r="G1363" s="17"/>
    </row>
    <row r="1364" spans="6:7" x14ac:dyDescent="0.25">
      <c r="F1364" s="18"/>
      <c r="G1364" s="17"/>
    </row>
    <row r="1365" spans="6:7" x14ac:dyDescent="0.25">
      <c r="F1365" s="18"/>
      <c r="G1365" s="17"/>
    </row>
    <row r="1366" spans="6:7" x14ac:dyDescent="0.25">
      <c r="F1366" s="18"/>
      <c r="G1366" s="17"/>
    </row>
    <row r="1367" spans="6:7" x14ac:dyDescent="0.25">
      <c r="F1367" s="18"/>
      <c r="G1367" s="17"/>
    </row>
    <row r="1368" spans="6:7" x14ac:dyDescent="0.25">
      <c r="F1368" s="18"/>
      <c r="G1368" s="17"/>
    </row>
    <row r="1369" spans="6:7" x14ac:dyDescent="0.25">
      <c r="F1369" s="18"/>
      <c r="G1369" s="17"/>
    </row>
    <row r="1370" spans="6:7" x14ac:dyDescent="0.25">
      <c r="F1370" s="18"/>
      <c r="G1370" s="17"/>
    </row>
    <row r="1371" spans="6:7" x14ac:dyDescent="0.25">
      <c r="F1371" s="18"/>
      <c r="G1371" s="17"/>
    </row>
    <row r="1372" spans="6:7" x14ac:dyDescent="0.25">
      <c r="F1372" s="18"/>
      <c r="G1372" s="17"/>
    </row>
    <row r="1373" spans="6:7" x14ac:dyDescent="0.25">
      <c r="F1373" s="18"/>
      <c r="G1373" s="17"/>
    </row>
    <row r="1374" spans="6:7" x14ac:dyDescent="0.25">
      <c r="F1374" s="18"/>
      <c r="G1374" s="17"/>
    </row>
    <row r="1375" spans="6:7" x14ac:dyDescent="0.25">
      <c r="F1375" s="18"/>
      <c r="G1375" s="17"/>
    </row>
    <row r="1376" spans="6:7" x14ac:dyDescent="0.25">
      <c r="F1376" s="18"/>
      <c r="G1376" s="17"/>
    </row>
    <row r="1377" spans="6:7" x14ac:dyDescent="0.25">
      <c r="F1377" s="18"/>
      <c r="G1377" s="17"/>
    </row>
    <row r="1378" spans="6:7" x14ac:dyDescent="0.25">
      <c r="F1378" s="18"/>
      <c r="G1378" s="17"/>
    </row>
    <row r="1379" spans="6:7" x14ac:dyDescent="0.25">
      <c r="F1379" s="18"/>
      <c r="G1379" s="17"/>
    </row>
    <row r="1380" spans="6:7" x14ac:dyDescent="0.25">
      <c r="F1380" s="18"/>
      <c r="G1380" s="17"/>
    </row>
    <row r="1381" spans="6:7" x14ac:dyDescent="0.25">
      <c r="F1381" s="18"/>
      <c r="G1381" s="17"/>
    </row>
    <row r="1382" spans="6:7" x14ac:dyDescent="0.25">
      <c r="F1382" s="18"/>
      <c r="G1382" s="17"/>
    </row>
    <row r="1383" spans="6:7" x14ac:dyDescent="0.25">
      <c r="F1383" s="18"/>
      <c r="G1383" s="17"/>
    </row>
    <row r="1384" spans="6:7" x14ac:dyDescent="0.25">
      <c r="F1384" s="18"/>
      <c r="G1384" s="17"/>
    </row>
    <row r="1385" spans="6:7" x14ac:dyDescent="0.25">
      <c r="F1385" s="18"/>
      <c r="G1385" s="17"/>
    </row>
    <row r="1386" spans="6:7" x14ac:dyDescent="0.25">
      <c r="F1386" s="18"/>
      <c r="G1386" s="17"/>
    </row>
    <row r="1387" spans="6:7" x14ac:dyDescent="0.25">
      <c r="F1387" s="18"/>
      <c r="G1387" s="17"/>
    </row>
    <row r="1388" spans="6:7" x14ac:dyDescent="0.25">
      <c r="F1388" s="18"/>
      <c r="G1388" s="17"/>
    </row>
    <row r="1389" spans="6:7" x14ac:dyDescent="0.25">
      <c r="F1389" s="18"/>
      <c r="G1389" s="17"/>
    </row>
    <row r="1390" spans="6:7" x14ac:dyDescent="0.25">
      <c r="F1390" s="18"/>
      <c r="G1390" s="17"/>
    </row>
    <row r="1391" spans="6:7" x14ac:dyDescent="0.25">
      <c r="F1391" s="18"/>
      <c r="G1391" s="17"/>
    </row>
    <row r="1392" spans="6:7" x14ac:dyDescent="0.25">
      <c r="F1392" s="18"/>
      <c r="G1392" s="17"/>
    </row>
    <row r="1393" spans="6:7" x14ac:dyDescent="0.25">
      <c r="F1393" s="18"/>
      <c r="G1393" s="17"/>
    </row>
    <row r="1394" spans="6:7" x14ac:dyDescent="0.25">
      <c r="F1394" s="18"/>
      <c r="G1394" s="17"/>
    </row>
    <row r="1395" spans="6:7" x14ac:dyDescent="0.25">
      <c r="F1395" s="18"/>
      <c r="G1395" s="17"/>
    </row>
    <row r="1396" spans="6:7" x14ac:dyDescent="0.25">
      <c r="F1396" s="18"/>
      <c r="G1396" s="17"/>
    </row>
    <row r="1397" spans="6:7" x14ac:dyDescent="0.25">
      <c r="F1397" s="18"/>
      <c r="G1397" s="17"/>
    </row>
    <row r="1398" spans="6:7" x14ac:dyDescent="0.25">
      <c r="F1398" s="18"/>
      <c r="G1398" s="17"/>
    </row>
    <row r="1399" spans="6:7" x14ac:dyDescent="0.25">
      <c r="F1399" s="18"/>
      <c r="G1399" s="17"/>
    </row>
    <row r="1400" spans="6:7" x14ac:dyDescent="0.25">
      <c r="F1400" s="18"/>
      <c r="G1400" s="17"/>
    </row>
    <row r="1401" spans="6:7" x14ac:dyDescent="0.25">
      <c r="F1401" s="18"/>
      <c r="G1401" s="17"/>
    </row>
    <row r="1402" spans="6:7" x14ac:dyDescent="0.25">
      <c r="F1402" s="18"/>
      <c r="G1402" s="17"/>
    </row>
    <row r="1403" spans="6:7" x14ac:dyDescent="0.25">
      <c r="F1403" s="18"/>
      <c r="G1403" s="17"/>
    </row>
    <row r="1404" spans="6:7" x14ac:dyDescent="0.25">
      <c r="F1404" s="18"/>
      <c r="G1404" s="17"/>
    </row>
    <row r="1405" spans="6:7" x14ac:dyDescent="0.25">
      <c r="F1405" s="18"/>
      <c r="G1405" s="17"/>
    </row>
    <row r="1406" spans="6:7" x14ac:dyDescent="0.25">
      <c r="F1406" s="18"/>
      <c r="G1406" s="17"/>
    </row>
    <row r="1407" spans="6:7" x14ac:dyDescent="0.25">
      <c r="F1407" s="18"/>
      <c r="G1407" s="17"/>
    </row>
    <row r="1408" spans="6:7" x14ac:dyDescent="0.25">
      <c r="F1408" s="18"/>
      <c r="G1408" s="17"/>
    </row>
    <row r="1409" spans="6:7" x14ac:dyDescent="0.25">
      <c r="F1409" s="18"/>
      <c r="G1409" s="17"/>
    </row>
    <row r="1410" spans="6:7" x14ac:dyDescent="0.25">
      <c r="F1410" s="18"/>
      <c r="G1410" s="17"/>
    </row>
    <row r="1411" spans="6:7" x14ac:dyDescent="0.25">
      <c r="F1411" s="18"/>
      <c r="G1411" s="17"/>
    </row>
    <row r="1412" spans="6:7" x14ac:dyDescent="0.25">
      <c r="F1412" s="18"/>
      <c r="G1412" s="17"/>
    </row>
    <row r="1413" spans="6:7" x14ac:dyDescent="0.25">
      <c r="F1413" s="18"/>
      <c r="G1413" s="17"/>
    </row>
    <row r="1414" spans="6:7" x14ac:dyDescent="0.25">
      <c r="F1414" s="18"/>
      <c r="G1414" s="17"/>
    </row>
    <row r="1415" spans="6:7" x14ac:dyDescent="0.25">
      <c r="F1415" s="18"/>
      <c r="G1415" s="17"/>
    </row>
    <row r="1416" spans="6:7" x14ac:dyDescent="0.25">
      <c r="F1416" s="18"/>
      <c r="G1416" s="17"/>
    </row>
    <row r="1417" spans="6:7" x14ac:dyDescent="0.25">
      <c r="F1417" s="18"/>
      <c r="G1417" s="17"/>
    </row>
    <row r="1418" spans="6:7" x14ac:dyDescent="0.25">
      <c r="F1418" s="18"/>
      <c r="G1418" s="17"/>
    </row>
    <row r="1419" spans="6:7" x14ac:dyDescent="0.25">
      <c r="F1419" s="18"/>
      <c r="G1419" s="17"/>
    </row>
    <row r="1420" spans="6:7" x14ac:dyDescent="0.25">
      <c r="F1420" s="18"/>
      <c r="G1420" s="17"/>
    </row>
    <row r="1421" spans="6:7" x14ac:dyDescent="0.25">
      <c r="F1421" s="18"/>
      <c r="G1421" s="17"/>
    </row>
    <row r="1422" spans="6:7" x14ac:dyDescent="0.25">
      <c r="F1422" s="18"/>
      <c r="G1422" s="17"/>
    </row>
    <row r="1423" spans="6:7" x14ac:dyDescent="0.25">
      <c r="F1423" s="18"/>
      <c r="G1423" s="17"/>
    </row>
    <row r="1424" spans="6:7" x14ac:dyDescent="0.25">
      <c r="F1424" s="18"/>
      <c r="G1424" s="17"/>
    </row>
    <row r="1425" spans="6:7" x14ac:dyDescent="0.25">
      <c r="F1425" s="18"/>
      <c r="G1425" s="17"/>
    </row>
    <row r="1426" spans="6:7" x14ac:dyDescent="0.25">
      <c r="F1426" s="18"/>
      <c r="G1426" s="17"/>
    </row>
    <row r="1427" spans="6:7" x14ac:dyDescent="0.25">
      <c r="F1427" s="18"/>
      <c r="G1427" s="17"/>
    </row>
    <row r="1428" spans="6:7" x14ac:dyDescent="0.25">
      <c r="F1428" s="18"/>
      <c r="G1428" s="17"/>
    </row>
    <row r="1429" spans="6:7" x14ac:dyDescent="0.25">
      <c r="F1429" s="18"/>
      <c r="G1429" s="17"/>
    </row>
    <row r="1430" spans="6:7" x14ac:dyDescent="0.25">
      <c r="F1430" s="18"/>
      <c r="G1430" s="17"/>
    </row>
    <row r="1431" spans="6:7" x14ac:dyDescent="0.25">
      <c r="F1431" s="18"/>
      <c r="G1431" s="17"/>
    </row>
    <row r="1432" spans="6:7" x14ac:dyDescent="0.25">
      <c r="F1432" s="18"/>
      <c r="G1432" s="17"/>
    </row>
    <row r="1433" spans="6:7" x14ac:dyDescent="0.25">
      <c r="F1433" s="18"/>
      <c r="G1433" s="17"/>
    </row>
    <row r="1434" spans="6:7" x14ac:dyDescent="0.25">
      <c r="F1434" s="18"/>
      <c r="G1434" s="17"/>
    </row>
    <row r="1435" spans="6:7" x14ac:dyDescent="0.25">
      <c r="F1435" s="18"/>
      <c r="G1435" s="17"/>
    </row>
    <row r="1436" spans="6:7" x14ac:dyDescent="0.25">
      <c r="F1436" s="18"/>
      <c r="G1436" s="17"/>
    </row>
    <row r="1437" spans="6:7" x14ac:dyDescent="0.25">
      <c r="F1437" s="18"/>
      <c r="G1437" s="17"/>
    </row>
    <row r="1438" spans="6:7" x14ac:dyDescent="0.25">
      <c r="F1438" s="18"/>
      <c r="G1438" s="17"/>
    </row>
    <row r="1439" spans="6:7" x14ac:dyDescent="0.25">
      <c r="F1439" s="18"/>
      <c r="G1439" s="17"/>
    </row>
    <row r="1440" spans="6:7" x14ac:dyDescent="0.25">
      <c r="F1440" s="18"/>
      <c r="G1440" s="17"/>
    </row>
    <row r="1441" spans="6:7" x14ac:dyDescent="0.25">
      <c r="F1441" s="18"/>
      <c r="G1441" s="17"/>
    </row>
    <row r="1442" spans="6:7" x14ac:dyDescent="0.25">
      <c r="F1442" s="18"/>
      <c r="G1442" s="17"/>
    </row>
    <row r="1443" spans="6:7" x14ac:dyDescent="0.25">
      <c r="F1443" s="18"/>
      <c r="G1443" s="17"/>
    </row>
    <row r="1444" spans="6:7" x14ac:dyDescent="0.25">
      <c r="F1444" s="18"/>
      <c r="G1444" s="17"/>
    </row>
    <row r="1445" spans="6:7" x14ac:dyDescent="0.25">
      <c r="F1445" s="18"/>
      <c r="G1445" s="17"/>
    </row>
    <row r="1446" spans="6:7" x14ac:dyDescent="0.25">
      <c r="F1446" s="18"/>
      <c r="G1446" s="17"/>
    </row>
    <row r="1447" spans="6:7" x14ac:dyDescent="0.25">
      <c r="F1447" s="18"/>
      <c r="G1447" s="17"/>
    </row>
    <row r="1448" spans="6:7" x14ac:dyDescent="0.25">
      <c r="F1448" s="18"/>
      <c r="G1448" s="17"/>
    </row>
    <row r="1449" spans="6:7" x14ac:dyDescent="0.25">
      <c r="F1449" s="18"/>
      <c r="G1449" s="17"/>
    </row>
    <row r="1450" spans="6:7" x14ac:dyDescent="0.25">
      <c r="F1450" s="18"/>
      <c r="G1450" s="17"/>
    </row>
    <row r="1451" spans="6:7" x14ac:dyDescent="0.25">
      <c r="F1451" s="18"/>
      <c r="G1451" s="17"/>
    </row>
    <row r="1452" spans="6:7" x14ac:dyDescent="0.25">
      <c r="F1452" s="18"/>
      <c r="G1452" s="17"/>
    </row>
    <row r="1453" spans="6:7" x14ac:dyDescent="0.25">
      <c r="F1453" s="18"/>
      <c r="G1453" s="17"/>
    </row>
    <row r="1454" spans="6:7" x14ac:dyDescent="0.25">
      <c r="F1454" s="18"/>
      <c r="G1454" s="17"/>
    </row>
    <row r="1455" spans="6:7" x14ac:dyDescent="0.25">
      <c r="F1455" s="18"/>
      <c r="G1455" s="17"/>
    </row>
    <row r="1456" spans="6:7" x14ac:dyDescent="0.25">
      <c r="F1456" s="18"/>
      <c r="G1456" s="17"/>
    </row>
    <row r="1457" spans="6:7" x14ac:dyDescent="0.25">
      <c r="F1457" s="18"/>
      <c r="G1457" s="17"/>
    </row>
    <row r="1458" spans="6:7" x14ac:dyDescent="0.25">
      <c r="F1458" s="18"/>
      <c r="G1458" s="17"/>
    </row>
    <row r="1459" spans="6:7" x14ac:dyDescent="0.25">
      <c r="F1459" s="18"/>
      <c r="G1459" s="17"/>
    </row>
    <row r="1460" spans="6:7" x14ac:dyDescent="0.25">
      <c r="F1460" s="18"/>
      <c r="G1460" s="17"/>
    </row>
    <row r="1461" spans="6:7" x14ac:dyDescent="0.25">
      <c r="F1461" s="18"/>
      <c r="G1461" s="17"/>
    </row>
    <row r="1462" spans="6:7" x14ac:dyDescent="0.25">
      <c r="F1462" s="18"/>
      <c r="G1462" s="17"/>
    </row>
    <row r="1463" spans="6:7" x14ac:dyDescent="0.25">
      <c r="F1463" s="18"/>
      <c r="G1463" s="17"/>
    </row>
    <row r="1464" spans="6:7" x14ac:dyDescent="0.25">
      <c r="F1464" s="18"/>
      <c r="G1464" s="17"/>
    </row>
    <row r="1465" spans="6:7" x14ac:dyDescent="0.25">
      <c r="F1465" s="18"/>
      <c r="G1465" s="17"/>
    </row>
    <row r="1466" spans="6:7" x14ac:dyDescent="0.25">
      <c r="F1466" s="18"/>
      <c r="G1466" s="17"/>
    </row>
    <row r="1467" spans="6:7" x14ac:dyDescent="0.25">
      <c r="F1467" s="18"/>
      <c r="G1467" s="17"/>
    </row>
    <row r="1468" spans="6:7" x14ac:dyDescent="0.25">
      <c r="F1468" s="18"/>
      <c r="G1468" s="17"/>
    </row>
    <row r="1469" spans="6:7" x14ac:dyDescent="0.25">
      <c r="F1469" s="18"/>
      <c r="G1469" s="17"/>
    </row>
    <row r="1470" spans="6:7" x14ac:dyDescent="0.25">
      <c r="F1470" s="18"/>
      <c r="G1470" s="17"/>
    </row>
    <row r="1471" spans="6:7" x14ac:dyDescent="0.25">
      <c r="F1471" s="18"/>
      <c r="G1471" s="17"/>
    </row>
    <row r="1472" spans="6:7" x14ac:dyDescent="0.25">
      <c r="F1472" s="18"/>
      <c r="G1472" s="17"/>
    </row>
    <row r="1473" spans="6:7" x14ac:dyDescent="0.25">
      <c r="F1473" s="18"/>
      <c r="G1473" s="17"/>
    </row>
    <row r="1474" spans="6:7" x14ac:dyDescent="0.25">
      <c r="F1474" s="18"/>
      <c r="G1474" s="17"/>
    </row>
    <row r="1475" spans="6:7" x14ac:dyDescent="0.25">
      <c r="F1475" s="18"/>
      <c r="G1475" s="17"/>
    </row>
    <row r="1476" spans="6:7" x14ac:dyDescent="0.25">
      <c r="F1476" s="18"/>
      <c r="G1476" s="17"/>
    </row>
    <row r="1477" spans="6:7" x14ac:dyDescent="0.25">
      <c r="F1477" s="18"/>
      <c r="G1477" s="17"/>
    </row>
    <row r="1478" spans="6:7" x14ac:dyDescent="0.25">
      <c r="F1478" s="18"/>
      <c r="G1478" s="17"/>
    </row>
    <row r="1479" spans="6:7" x14ac:dyDescent="0.25">
      <c r="F1479" s="18"/>
      <c r="G1479" s="17"/>
    </row>
    <row r="1480" spans="6:7" x14ac:dyDescent="0.25">
      <c r="F1480" s="18"/>
      <c r="G1480" s="17"/>
    </row>
    <row r="1481" spans="6:7" x14ac:dyDescent="0.25">
      <c r="F1481" s="18"/>
      <c r="G1481" s="17"/>
    </row>
    <row r="1482" spans="6:7" x14ac:dyDescent="0.25">
      <c r="F1482" s="18"/>
      <c r="G1482" s="17"/>
    </row>
    <row r="1483" spans="6:7" x14ac:dyDescent="0.25">
      <c r="F1483" s="18"/>
      <c r="G1483" s="17"/>
    </row>
    <row r="1484" spans="6:7" x14ac:dyDescent="0.25">
      <c r="F1484" s="18"/>
      <c r="G1484" s="17"/>
    </row>
    <row r="1485" spans="6:7" x14ac:dyDescent="0.25">
      <c r="F1485" s="18"/>
      <c r="G1485" s="17"/>
    </row>
    <row r="1486" spans="6:7" x14ac:dyDescent="0.25">
      <c r="F1486" s="18"/>
      <c r="G1486" s="17"/>
    </row>
    <row r="1487" spans="6:7" x14ac:dyDescent="0.25">
      <c r="F1487" s="18"/>
      <c r="G1487" s="17"/>
    </row>
    <row r="1488" spans="6:7" x14ac:dyDescent="0.25">
      <c r="F1488" s="18"/>
      <c r="G1488" s="17"/>
    </row>
    <row r="1489" spans="6:7" x14ac:dyDescent="0.25">
      <c r="F1489" s="18"/>
      <c r="G1489" s="17"/>
    </row>
    <row r="1490" spans="6:7" x14ac:dyDescent="0.25">
      <c r="F1490" s="18"/>
      <c r="G1490" s="17"/>
    </row>
    <row r="1491" spans="6:7" x14ac:dyDescent="0.25">
      <c r="F1491" s="18"/>
      <c r="G1491" s="17"/>
    </row>
    <row r="1492" spans="6:7" x14ac:dyDescent="0.25">
      <c r="F1492" s="18"/>
      <c r="G1492" s="17"/>
    </row>
    <row r="1493" spans="6:7" x14ac:dyDescent="0.25">
      <c r="F1493" s="18"/>
      <c r="G1493" s="17"/>
    </row>
    <row r="1494" spans="6:7" x14ac:dyDescent="0.25">
      <c r="F1494" s="18"/>
      <c r="G1494" s="17"/>
    </row>
    <row r="1495" spans="6:7" x14ac:dyDescent="0.25">
      <c r="F1495" s="18"/>
      <c r="G1495" s="17"/>
    </row>
    <row r="1496" spans="6:7" x14ac:dyDescent="0.25">
      <c r="F1496" s="18"/>
      <c r="G1496" s="17"/>
    </row>
    <row r="1497" spans="6:7" x14ac:dyDescent="0.25">
      <c r="F1497" s="18"/>
      <c r="G1497" s="17"/>
    </row>
    <row r="1498" spans="6:7" x14ac:dyDescent="0.25">
      <c r="F1498" s="18"/>
      <c r="G1498" s="17"/>
    </row>
    <row r="1499" spans="6:7" x14ac:dyDescent="0.25">
      <c r="F1499" s="18"/>
      <c r="G1499" s="17"/>
    </row>
    <row r="1500" spans="6:7" x14ac:dyDescent="0.25">
      <c r="F1500" s="18"/>
      <c r="G1500" s="17"/>
    </row>
    <row r="1501" spans="6:7" x14ac:dyDescent="0.25">
      <c r="F1501" s="18"/>
      <c r="G1501" s="17"/>
    </row>
    <row r="1502" spans="6:7" x14ac:dyDescent="0.25">
      <c r="F1502" s="18"/>
      <c r="G1502" s="17"/>
    </row>
    <row r="1503" spans="6:7" x14ac:dyDescent="0.25">
      <c r="F1503" s="18"/>
      <c r="G1503" s="17"/>
    </row>
    <row r="1504" spans="6:7" x14ac:dyDescent="0.25">
      <c r="F1504" s="18"/>
      <c r="G1504" s="17"/>
    </row>
    <row r="1505" spans="6:7" x14ac:dyDescent="0.25">
      <c r="F1505" s="18"/>
      <c r="G1505" s="17"/>
    </row>
    <row r="1506" spans="6:7" x14ac:dyDescent="0.25">
      <c r="F1506" s="18"/>
      <c r="G1506" s="17"/>
    </row>
    <row r="1507" spans="6:7" x14ac:dyDescent="0.25">
      <c r="F1507" s="18"/>
      <c r="G1507" s="17"/>
    </row>
    <row r="1508" spans="6:7" x14ac:dyDescent="0.25">
      <c r="F1508" s="18"/>
      <c r="G1508" s="17"/>
    </row>
    <row r="1509" spans="6:7" x14ac:dyDescent="0.25">
      <c r="F1509" s="18"/>
      <c r="G1509" s="17"/>
    </row>
    <row r="1510" spans="6:7" x14ac:dyDescent="0.25">
      <c r="F1510" s="18"/>
      <c r="G1510" s="17"/>
    </row>
    <row r="1511" spans="6:7" x14ac:dyDescent="0.25">
      <c r="F1511" s="18"/>
      <c r="G1511" s="17"/>
    </row>
    <row r="1512" spans="6:7" x14ac:dyDescent="0.25">
      <c r="F1512" s="18"/>
      <c r="G1512" s="17"/>
    </row>
    <row r="1513" spans="6:7" x14ac:dyDescent="0.25">
      <c r="F1513" s="18"/>
      <c r="G1513" s="17"/>
    </row>
    <row r="1514" spans="6:7" x14ac:dyDescent="0.25">
      <c r="F1514" s="18"/>
      <c r="G1514" s="17"/>
    </row>
    <row r="1515" spans="6:7" x14ac:dyDescent="0.25">
      <c r="F1515" s="18"/>
      <c r="G1515" s="17"/>
    </row>
    <row r="1516" spans="6:7" x14ac:dyDescent="0.25">
      <c r="F1516" s="18"/>
      <c r="G1516" s="17"/>
    </row>
    <row r="1517" spans="6:7" x14ac:dyDescent="0.25">
      <c r="F1517" s="18"/>
      <c r="G1517" s="17"/>
    </row>
    <row r="1518" spans="6:7" x14ac:dyDescent="0.25">
      <c r="F1518" s="18"/>
      <c r="G1518" s="17"/>
    </row>
    <row r="1519" spans="6:7" x14ac:dyDescent="0.25">
      <c r="F1519" s="18"/>
      <c r="G1519" s="17"/>
    </row>
    <row r="1520" spans="6:7" x14ac:dyDescent="0.25">
      <c r="F1520" s="18"/>
      <c r="G1520" s="17"/>
    </row>
    <row r="1521" spans="6:7" x14ac:dyDescent="0.25">
      <c r="F1521" s="18"/>
      <c r="G1521" s="17"/>
    </row>
    <row r="1522" spans="6:7" x14ac:dyDescent="0.25">
      <c r="F1522" s="18"/>
      <c r="G1522" s="17"/>
    </row>
    <row r="1523" spans="6:7" x14ac:dyDescent="0.25">
      <c r="F1523" s="18"/>
      <c r="G1523" s="17"/>
    </row>
    <row r="1524" spans="6:7" x14ac:dyDescent="0.25">
      <c r="F1524" s="18"/>
      <c r="G1524" s="17"/>
    </row>
    <row r="1525" spans="6:7" x14ac:dyDescent="0.25">
      <c r="F1525" s="18"/>
      <c r="G1525" s="17"/>
    </row>
    <row r="1526" spans="6:7" x14ac:dyDescent="0.25">
      <c r="F1526" s="18"/>
      <c r="G1526" s="17"/>
    </row>
    <row r="1527" spans="6:7" x14ac:dyDescent="0.25">
      <c r="F1527" s="18"/>
      <c r="G1527" s="17"/>
    </row>
    <row r="1528" spans="6:7" x14ac:dyDescent="0.25">
      <c r="F1528" s="18"/>
      <c r="G1528" s="17"/>
    </row>
    <row r="1529" spans="6:7" x14ac:dyDescent="0.25">
      <c r="F1529" s="18"/>
      <c r="G1529" s="17"/>
    </row>
    <row r="1530" spans="6:7" x14ac:dyDescent="0.25">
      <c r="F1530" s="18"/>
      <c r="G1530" s="17"/>
    </row>
    <row r="1531" spans="6:7" x14ac:dyDescent="0.25">
      <c r="F1531" s="18"/>
      <c r="G1531" s="17"/>
    </row>
    <row r="1532" spans="6:7" x14ac:dyDescent="0.25">
      <c r="F1532" s="18"/>
      <c r="G1532" s="17"/>
    </row>
    <row r="1533" spans="6:7" x14ac:dyDescent="0.25">
      <c r="F1533" s="18"/>
      <c r="G1533" s="17"/>
    </row>
    <row r="1534" spans="6:7" x14ac:dyDescent="0.25">
      <c r="F1534" s="18"/>
      <c r="G1534" s="17"/>
    </row>
    <row r="1535" spans="6:7" x14ac:dyDescent="0.25">
      <c r="F1535" s="18"/>
      <c r="G1535" s="17"/>
    </row>
    <row r="1536" spans="6:7" x14ac:dyDescent="0.25">
      <c r="F1536" s="18"/>
      <c r="G1536" s="17"/>
    </row>
    <row r="1537" spans="6:7" x14ac:dyDescent="0.25">
      <c r="F1537" s="18"/>
      <c r="G1537" s="17"/>
    </row>
    <row r="1538" spans="6:7" x14ac:dyDescent="0.25">
      <c r="F1538" s="18"/>
      <c r="G1538" s="17"/>
    </row>
    <row r="1539" spans="6:7" x14ac:dyDescent="0.25">
      <c r="F1539" s="18"/>
      <c r="G1539" s="17"/>
    </row>
    <row r="1540" spans="6:7" x14ac:dyDescent="0.25">
      <c r="F1540" s="18"/>
      <c r="G1540" s="17"/>
    </row>
    <row r="1541" spans="6:7" x14ac:dyDescent="0.25">
      <c r="F1541" s="18"/>
      <c r="G1541" s="17"/>
    </row>
    <row r="1542" spans="6:7" x14ac:dyDescent="0.25">
      <c r="F1542" s="18"/>
      <c r="G1542" s="17"/>
    </row>
    <row r="1543" spans="6:7" x14ac:dyDescent="0.25">
      <c r="F1543" s="18"/>
      <c r="G1543" s="17"/>
    </row>
    <row r="1544" spans="6:7" x14ac:dyDescent="0.25">
      <c r="F1544" s="18"/>
      <c r="G1544" s="17"/>
    </row>
    <row r="1545" spans="6:7" x14ac:dyDescent="0.25">
      <c r="F1545" s="18"/>
      <c r="G1545" s="17"/>
    </row>
    <row r="1546" spans="6:7" x14ac:dyDescent="0.25">
      <c r="F1546" s="18"/>
      <c r="G1546" s="17"/>
    </row>
    <row r="1547" spans="6:7" x14ac:dyDescent="0.25">
      <c r="F1547" s="18"/>
      <c r="G1547" s="17"/>
    </row>
    <row r="1548" spans="6:7" x14ac:dyDescent="0.25">
      <c r="F1548" s="18"/>
      <c r="G1548" s="17"/>
    </row>
    <row r="1549" spans="6:7" x14ac:dyDescent="0.25">
      <c r="F1549" s="18"/>
      <c r="G1549" s="17"/>
    </row>
    <row r="1550" spans="6:7" x14ac:dyDescent="0.25">
      <c r="F1550" s="18"/>
      <c r="G1550" s="17"/>
    </row>
    <row r="1551" spans="6:7" x14ac:dyDescent="0.25">
      <c r="F1551" s="18"/>
      <c r="G1551" s="17"/>
    </row>
    <row r="1552" spans="6:7" x14ac:dyDescent="0.25">
      <c r="F1552" s="18"/>
      <c r="G1552" s="17"/>
    </row>
    <row r="1553" spans="6:7" x14ac:dyDescent="0.25">
      <c r="F1553" s="18"/>
      <c r="G1553" s="17"/>
    </row>
    <row r="1554" spans="6:7" x14ac:dyDescent="0.25">
      <c r="F1554" s="18"/>
      <c r="G1554" s="17"/>
    </row>
    <row r="1555" spans="6:7" x14ac:dyDescent="0.25">
      <c r="F1555" s="18"/>
      <c r="G1555" s="17"/>
    </row>
    <row r="1556" spans="6:7" x14ac:dyDescent="0.25">
      <c r="F1556" s="18"/>
      <c r="G1556" s="17"/>
    </row>
    <row r="1557" spans="6:7" x14ac:dyDescent="0.25">
      <c r="F1557" s="18"/>
      <c r="G1557" s="17"/>
    </row>
    <row r="1558" spans="6:7" x14ac:dyDescent="0.25">
      <c r="F1558" s="18"/>
      <c r="G1558" s="17"/>
    </row>
    <row r="1559" spans="6:7" x14ac:dyDescent="0.25">
      <c r="F1559" s="18"/>
      <c r="G1559" s="17"/>
    </row>
    <row r="1560" spans="6:7" x14ac:dyDescent="0.25">
      <c r="F1560" s="18"/>
      <c r="G1560" s="17"/>
    </row>
    <row r="1561" spans="6:7" x14ac:dyDescent="0.25">
      <c r="F1561" s="18"/>
      <c r="G1561" s="17"/>
    </row>
    <row r="1562" spans="6:7" x14ac:dyDescent="0.25">
      <c r="F1562" s="18"/>
      <c r="G1562" s="17"/>
    </row>
    <row r="1563" spans="6:7" x14ac:dyDescent="0.25">
      <c r="F1563" s="18"/>
      <c r="G1563" s="17"/>
    </row>
    <row r="1564" spans="6:7" x14ac:dyDescent="0.25">
      <c r="F1564" s="18"/>
      <c r="G1564" s="17"/>
    </row>
    <row r="1565" spans="6:7" x14ac:dyDescent="0.25">
      <c r="F1565" s="18"/>
      <c r="G1565" s="17"/>
    </row>
    <row r="1566" spans="6:7" x14ac:dyDescent="0.25">
      <c r="F1566" s="18"/>
      <c r="G1566" s="17"/>
    </row>
    <row r="1567" spans="6:7" x14ac:dyDescent="0.25">
      <c r="F1567" s="18"/>
      <c r="G1567" s="17"/>
    </row>
    <row r="1568" spans="6:7" x14ac:dyDescent="0.25">
      <c r="F1568" s="18"/>
      <c r="G1568" s="17"/>
    </row>
    <row r="1569" spans="6:7" x14ac:dyDescent="0.25">
      <c r="F1569" s="18"/>
      <c r="G1569" s="17"/>
    </row>
    <row r="1570" spans="6:7" x14ac:dyDescent="0.25">
      <c r="F1570" s="18"/>
      <c r="G1570" s="17"/>
    </row>
    <row r="1571" spans="6:7" x14ac:dyDescent="0.25">
      <c r="F1571" s="18"/>
      <c r="G1571" s="17"/>
    </row>
    <row r="1572" spans="6:7" x14ac:dyDescent="0.25">
      <c r="F1572" s="18"/>
      <c r="G1572" s="17"/>
    </row>
    <row r="1573" spans="6:7" x14ac:dyDescent="0.25">
      <c r="F1573" s="18"/>
      <c r="G1573" s="17"/>
    </row>
    <row r="1574" spans="6:7" x14ac:dyDescent="0.25">
      <c r="F1574" s="18"/>
      <c r="G1574" s="17"/>
    </row>
    <row r="1575" spans="6:7" x14ac:dyDescent="0.25">
      <c r="F1575" s="18"/>
      <c r="G1575" s="17"/>
    </row>
    <row r="1576" spans="6:7" x14ac:dyDescent="0.25">
      <c r="F1576" s="18"/>
      <c r="G1576" s="17"/>
    </row>
    <row r="1577" spans="6:7" x14ac:dyDescent="0.25">
      <c r="F1577" s="18"/>
      <c r="G1577" s="17"/>
    </row>
    <row r="1578" spans="6:7" x14ac:dyDescent="0.25">
      <c r="F1578" s="18"/>
      <c r="G1578" s="17"/>
    </row>
    <row r="1579" spans="6:7" x14ac:dyDescent="0.25">
      <c r="F1579" s="18"/>
      <c r="G1579" s="17"/>
    </row>
    <row r="1580" spans="6:7" x14ac:dyDescent="0.25">
      <c r="F1580" s="18"/>
      <c r="G1580" s="17"/>
    </row>
    <row r="1581" spans="6:7" x14ac:dyDescent="0.25">
      <c r="F1581" s="18"/>
      <c r="G1581" s="17"/>
    </row>
    <row r="1582" spans="6:7" x14ac:dyDescent="0.25">
      <c r="F1582" s="18"/>
      <c r="G1582" s="17"/>
    </row>
    <row r="1583" spans="6:7" x14ac:dyDescent="0.25">
      <c r="F1583" s="18"/>
      <c r="G1583" s="17"/>
    </row>
    <row r="1584" spans="6:7" x14ac:dyDescent="0.25">
      <c r="F1584" s="18"/>
      <c r="G1584" s="17"/>
    </row>
    <row r="1585" spans="6:7" x14ac:dyDescent="0.25">
      <c r="F1585" s="18"/>
      <c r="G1585" s="17"/>
    </row>
    <row r="1586" spans="6:7" x14ac:dyDescent="0.25">
      <c r="F1586" s="18"/>
      <c r="G1586" s="17"/>
    </row>
    <row r="1587" spans="6:7" x14ac:dyDescent="0.25">
      <c r="F1587" s="18"/>
      <c r="G1587" s="17"/>
    </row>
    <row r="1588" spans="6:7" x14ac:dyDescent="0.25">
      <c r="F1588" s="18"/>
      <c r="G1588" s="17"/>
    </row>
    <row r="1589" spans="6:7" x14ac:dyDescent="0.25">
      <c r="F1589" s="18"/>
      <c r="G1589" s="17"/>
    </row>
    <row r="1590" spans="6:7" x14ac:dyDescent="0.25">
      <c r="F1590" s="18"/>
      <c r="G1590" s="17"/>
    </row>
    <row r="1591" spans="6:7" x14ac:dyDescent="0.25">
      <c r="F1591" s="18"/>
      <c r="G1591" s="17"/>
    </row>
    <row r="1592" spans="6:7" x14ac:dyDescent="0.25">
      <c r="F1592" s="18"/>
      <c r="G1592" s="17"/>
    </row>
    <row r="1593" spans="6:7" x14ac:dyDescent="0.25">
      <c r="F1593" s="18"/>
      <c r="G1593" s="17"/>
    </row>
    <row r="1594" spans="6:7" x14ac:dyDescent="0.25">
      <c r="F1594" s="18"/>
      <c r="G1594" s="17"/>
    </row>
    <row r="1595" spans="6:7" x14ac:dyDescent="0.25">
      <c r="F1595" s="18"/>
      <c r="G1595" s="17"/>
    </row>
    <row r="1596" spans="6:7" x14ac:dyDescent="0.25">
      <c r="F1596" s="18"/>
      <c r="G1596" s="17"/>
    </row>
    <row r="1597" spans="6:7" x14ac:dyDescent="0.25">
      <c r="F1597" s="18"/>
      <c r="G1597" s="17"/>
    </row>
    <row r="1598" spans="6:7" x14ac:dyDescent="0.25">
      <c r="F1598" s="18"/>
      <c r="G1598" s="17"/>
    </row>
    <row r="1599" spans="6:7" x14ac:dyDescent="0.25">
      <c r="F1599" s="18"/>
      <c r="G1599" s="17"/>
    </row>
    <row r="1600" spans="6:7" x14ac:dyDescent="0.25">
      <c r="F1600" s="18"/>
      <c r="G1600" s="17"/>
    </row>
    <row r="1601" spans="6:7" x14ac:dyDescent="0.25">
      <c r="F1601" s="18"/>
      <c r="G1601" s="17"/>
    </row>
    <row r="1602" spans="6:7" x14ac:dyDescent="0.25">
      <c r="F1602" s="18"/>
      <c r="G1602" s="17"/>
    </row>
    <row r="1603" spans="6:7" x14ac:dyDescent="0.25">
      <c r="F1603" s="18"/>
      <c r="G1603" s="17"/>
    </row>
    <row r="1604" spans="6:7" x14ac:dyDescent="0.25">
      <c r="F1604" s="18"/>
      <c r="G1604" s="17"/>
    </row>
    <row r="1605" spans="6:7" x14ac:dyDescent="0.25">
      <c r="F1605" s="18"/>
      <c r="G1605" s="17"/>
    </row>
    <row r="1606" spans="6:7" x14ac:dyDescent="0.25">
      <c r="F1606" s="18"/>
      <c r="G1606" s="17"/>
    </row>
    <row r="1607" spans="6:7" x14ac:dyDescent="0.25">
      <c r="F1607" s="18"/>
      <c r="G1607" s="17"/>
    </row>
    <row r="1608" spans="6:7" x14ac:dyDescent="0.25">
      <c r="F1608" s="18"/>
      <c r="G1608" s="17"/>
    </row>
    <row r="1609" spans="6:7" x14ac:dyDescent="0.25">
      <c r="F1609" s="18"/>
      <c r="G1609" s="17"/>
    </row>
    <row r="1610" spans="6:7" x14ac:dyDescent="0.25">
      <c r="F1610" s="18"/>
      <c r="G1610" s="17"/>
    </row>
    <row r="1611" spans="6:7" x14ac:dyDescent="0.25">
      <c r="F1611" s="18"/>
      <c r="G1611" s="17"/>
    </row>
    <row r="1612" spans="6:7" x14ac:dyDescent="0.25">
      <c r="F1612" s="18"/>
      <c r="G1612" s="17"/>
    </row>
    <row r="1613" spans="6:7" x14ac:dyDescent="0.25">
      <c r="F1613" s="18"/>
      <c r="G1613" s="17"/>
    </row>
    <row r="1614" spans="6:7" x14ac:dyDescent="0.25">
      <c r="F1614" s="18"/>
      <c r="G1614" s="17"/>
    </row>
    <row r="1615" spans="6:7" x14ac:dyDescent="0.25">
      <c r="F1615" s="18"/>
      <c r="G1615" s="17"/>
    </row>
    <row r="1616" spans="6:7" x14ac:dyDescent="0.25">
      <c r="F1616" s="18"/>
      <c r="G1616" s="17"/>
    </row>
    <row r="1617" spans="6:7" x14ac:dyDescent="0.25">
      <c r="F1617" s="18"/>
      <c r="G1617" s="17"/>
    </row>
    <row r="1618" spans="6:7" x14ac:dyDescent="0.25">
      <c r="F1618" s="18"/>
      <c r="G1618" s="17"/>
    </row>
    <row r="1619" spans="6:7" x14ac:dyDescent="0.25">
      <c r="F1619" s="18"/>
      <c r="G1619" s="17"/>
    </row>
    <row r="1620" spans="6:7" x14ac:dyDescent="0.25">
      <c r="F1620" s="18"/>
      <c r="G1620" s="17"/>
    </row>
    <row r="1621" spans="6:7" x14ac:dyDescent="0.25">
      <c r="F1621" s="18"/>
      <c r="G1621" s="17"/>
    </row>
    <row r="1622" spans="6:7" x14ac:dyDescent="0.25">
      <c r="F1622" s="18"/>
      <c r="G1622" s="17"/>
    </row>
    <row r="1623" spans="6:7" x14ac:dyDescent="0.25">
      <c r="F1623" s="18"/>
      <c r="G1623" s="17"/>
    </row>
    <row r="1624" spans="6:7" x14ac:dyDescent="0.25">
      <c r="F1624" s="18"/>
      <c r="G1624" s="17"/>
    </row>
    <row r="1625" spans="6:7" x14ac:dyDescent="0.25">
      <c r="F1625" s="18"/>
      <c r="G1625" s="17"/>
    </row>
    <row r="1626" spans="6:7" x14ac:dyDescent="0.25">
      <c r="F1626" s="18"/>
      <c r="G1626" s="17"/>
    </row>
    <row r="1627" spans="6:7" x14ac:dyDescent="0.25">
      <c r="F1627" s="18"/>
      <c r="G1627" s="17"/>
    </row>
    <row r="1628" spans="6:7" x14ac:dyDescent="0.25">
      <c r="F1628" s="18"/>
      <c r="G1628" s="17"/>
    </row>
    <row r="1629" spans="6:7" x14ac:dyDescent="0.25">
      <c r="F1629" s="18"/>
      <c r="G1629" s="17"/>
    </row>
    <row r="1630" spans="6:7" x14ac:dyDescent="0.25">
      <c r="F1630" s="18"/>
      <c r="G1630" s="17"/>
    </row>
    <row r="1631" spans="6:7" x14ac:dyDescent="0.25">
      <c r="F1631" s="18"/>
      <c r="G1631" s="17"/>
    </row>
    <row r="1632" spans="6:7" x14ac:dyDescent="0.25">
      <c r="F1632" s="18"/>
      <c r="G1632" s="17"/>
    </row>
    <row r="1633" spans="6:7" x14ac:dyDescent="0.25">
      <c r="F1633" s="18"/>
      <c r="G1633" s="17"/>
    </row>
    <row r="1634" spans="6:7" x14ac:dyDescent="0.25">
      <c r="F1634" s="18"/>
      <c r="G1634" s="17"/>
    </row>
    <row r="1635" spans="6:7" x14ac:dyDescent="0.25">
      <c r="F1635" s="18"/>
      <c r="G1635" s="17"/>
    </row>
    <row r="1636" spans="6:7" x14ac:dyDescent="0.25">
      <c r="F1636" s="18"/>
      <c r="G1636" s="17"/>
    </row>
    <row r="1637" spans="6:7" x14ac:dyDescent="0.25">
      <c r="F1637" s="18"/>
      <c r="G1637" s="17"/>
    </row>
    <row r="1638" spans="6:7" x14ac:dyDescent="0.25">
      <c r="F1638" s="18"/>
      <c r="G1638" s="17"/>
    </row>
    <row r="1639" spans="6:7" x14ac:dyDescent="0.25">
      <c r="F1639" s="18"/>
      <c r="G1639" s="17"/>
    </row>
    <row r="1640" spans="6:7" x14ac:dyDescent="0.25">
      <c r="F1640" s="18"/>
      <c r="G1640" s="17"/>
    </row>
    <row r="1641" spans="6:7" x14ac:dyDescent="0.25">
      <c r="F1641" s="18"/>
      <c r="G1641" s="17"/>
    </row>
    <row r="1642" spans="6:7" x14ac:dyDescent="0.25">
      <c r="F1642" s="18"/>
      <c r="G1642" s="17"/>
    </row>
    <row r="1643" spans="6:7" x14ac:dyDescent="0.25">
      <c r="F1643" s="18"/>
      <c r="G1643" s="17"/>
    </row>
    <row r="1644" spans="6:7" x14ac:dyDescent="0.25">
      <c r="F1644" s="18"/>
      <c r="G1644" s="17"/>
    </row>
    <row r="1645" spans="6:7" x14ac:dyDescent="0.25">
      <c r="F1645" s="18"/>
      <c r="G1645" s="17"/>
    </row>
    <row r="1646" spans="6:7" x14ac:dyDescent="0.25">
      <c r="F1646" s="18"/>
      <c r="G1646" s="17"/>
    </row>
    <row r="1647" spans="6:7" x14ac:dyDescent="0.25">
      <c r="F1647" s="18"/>
      <c r="G1647" s="17"/>
    </row>
    <row r="1648" spans="6:7" x14ac:dyDescent="0.25">
      <c r="F1648" s="18"/>
      <c r="G1648" s="17"/>
    </row>
    <row r="1649" spans="6:7" x14ac:dyDescent="0.25">
      <c r="F1649" s="18"/>
      <c r="G1649" s="17"/>
    </row>
    <row r="1650" spans="6:7" x14ac:dyDescent="0.25">
      <c r="F1650" s="18"/>
      <c r="G1650" s="17"/>
    </row>
    <row r="1651" spans="6:7" x14ac:dyDescent="0.25">
      <c r="F1651" s="18"/>
      <c r="G1651" s="17"/>
    </row>
    <row r="1652" spans="6:7" x14ac:dyDescent="0.25">
      <c r="F1652" s="18"/>
      <c r="G1652" s="17"/>
    </row>
    <row r="1653" spans="6:7" x14ac:dyDescent="0.25">
      <c r="F1653" s="18"/>
      <c r="G1653" s="17"/>
    </row>
    <row r="1654" spans="6:7" x14ac:dyDescent="0.25">
      <c r="F1654" s="18"/>
      <c r="G1654" s="17"/>
    </row>
    <row r="1655" spans="6:7" x14ac:dyDescent="0.25">
      <c r="F1655" s="18"/>
      <c r="G1655" s="17"/>
    </row>
    <row r="1656" spans="6:7" x14ac:dyDescent="0.25">
      <c r="F1656" s="18"/>
      <c r="G1656" s="17"/>
    </row>
    <row r="1657" spans="6:7" x14ac:dyDescent="0.25">
      <c r="F1657" s="18"/>
      <c r="G1657" s="17"/>
    </row>
    <row r="1658" spans="6:7" x14ac:dyDescent="0.25">
      <c r="F1658" s="18"/>
      <c r="G1658" s="17"/>
    </row>
    <row r="1659" spans="6:7" x14ac:dyDescent="0.25">
      <c r="F1659" s="18"/>
      <c r="G1659" s="17"/>
    </row>
    <row r="1660" spans="6:7" x14ac:dyDescent="0.25">
      <c r="F1660" s="18"/>
      <c r="G1660" s="17"/>
    </row>
    <row r="1661" spans="6:7" x14ac:dyDescent="0.25">
      <c r="F1661" s="18"/>
      <c r="G1661" s="17"/>
    </row>
    <row r="1662" spans="6:7" x14ac:dyDescent="0.25">
      <c r="F1662" s="18"/>
      <c r="G1662" s="17"/>
    </row>
    <row r="1663" spans="6:7" x14ac:dyDescent="0.25">
      <c r="F1663" s="18"/>
      <c r="G1663" s="17"/>
    </row>
    <row r="1664" spans="6:7" x14ac:dyDescent="0.25">
      <c r="F1664" s="18"/>
      <c r="G1664" s="17"/>
    </row>
    <row r="1665" spans="6:7" x14ac:dyDescent="0.25">
      <c r="F1665" s="18"/>
      <c r="G1665" s="17"/>
    </row>
    <row r="1666" spans="6:7" x14ac:dyDescent="0.25">
      <c r="F1666" s="18"/>
      <c r="G1666" s="17"/>
    </row>
    <row r="1667" spans="6:7" x14ac:dyDescent="0.25">
      <c r="F1667" s="18"/>
      <c r="G1667" s="17"/>
    </row>
    <row r="1668" spans="6:7" x14ac:dyDescent="0.25">
      <c r="F1668" s="18"/>
      <c r="G1668" s="17"/>
    </row>
    <row r="1669" spans="6:7" x14ac:dyDescent="0.25">
      <c r="F1669" s="18"/>
      <c r="G1669" s="17"/>
    </row>
    <row r="1670" spans="6:7" x14ac:dyDescent="0.25">
      <c r="F1670" s="18"/>
      <c r="G1670" s="17"/>
    </row>
    <row r="1671" spans="6:7" x14ac:dyDescent="0.25">
      <c r="F1671" s="18"/>
      <c r="G1671" s="17"/>
    </row>
    <row r="1672" spans="6:7" x14ac:dyDescent="0.25">
      <c r="F1672" s="18"/>
      <c r="G1672" s="17"/>
    </row>
    <row r="1673" spans="6:7" x14ac:dyDescent="0.25">
      <c r="F1673" s="18"/>
      <c r="G1673" s="17"/>
    </row>
    <row r="1674" spans="6:7" x14ac:dyDescent="0.25">
      <c r="F1674" s="18"/>
      <c r="G1674" s="17"/>
    </row>
    <row r="1675" spans="6:7" x14ac:dyDescent="0.25">
      <c r="F1675" s="18"/>
      <c r="G1675" s="17"/>
    </row>
    <row r="1676" spans="6:7" x14ac:dyDescent="0.25">
      <c r="F1676" s="18"/>
      <c r="G1676" s="17"/>
    </row>
    <row r="1677" spans="6:7" x14ac:dyDescent="0.25">
      <c r="F1677" s="18"/>
      <c r="G1677" s="17"/>
    </row>
    <row r="1678" spans="6:7" x14ac:dyDescent="0.25">
      <c r="F1678" s="18"/>
      <c r="G1678" s="17"/>
    </row>
    <row r="1679" spans="6:7" x14ac:dyDescent="0.25">
      <c r="F1679" s="18"/>
      <c r="G1679" s="17"/>
    </row>
    <row r="1680" spans="6:7" x14ac:dyDescent="0.25">
      <c r="F1680" s="18"/>
      <c r="G1680" s="17"/>
    </row>
    <row r="1681" spans="6:7" x14ac:dyDescent="0.25">
      <c r="F1681" s="18"/>
      <c r="G1681" s="17"/>
    </row>
    <row r="1682" spans="6:7" x14ac:dyDescent="0.25">
      <c r="F1682" s="18"/>
      <c r="G1682" s="17"/>
    </row>
    <row r="1683" spans="6:7" x14ac:dyDescent="0.25">
      <c r="F1683" s="18"/>
      <c r="G1683" s="17"/>
    </row>
    <row r="1684" spans="6:7" x14ac:dyDescent="0.25">
      <c r="F1684" s="18"/>
      <c r="G1684" s="17"/>
    </row>
    <row r="1685" spans="6:7" x14ac:dyDescent="0.25">
      <c r="F1685" s="18"/>
      <c r="G1685" s="17"/>
    </row>
    <row r="1686" spans="6:7" x14ac:dyDescent="0.25">
      <c r="F1686" s="18"/>
      <c r="G1686" s="17"/>
    </row>
    <row r="1687" spans="6:7" x14ac:dyDescent="0.25">
      <c r="F1687" s="18"/>
      <c r="G1687" s="17"/>
    </row>
    <row r="1688" spans="6:7" x14ac:dyDescent="0.25">
      <c r="F1688" s="18"/>
      <c r="G1688" s="17"/>
    </row>
    <row r="1689" spans="6:7" x14ac:dyDescent="0.25">
      <c r="F1689" s="18"/>
      <c r="G1689" s="17"/>
    </row>
    <row r="1690" spans="6:7" x14ac:dyDescent="0.25">
      <c r="F1690" s="18"/>
      <c r="G1690" s="17"/>
    </row>
    <row r="1691" spans="6:7" x14ac:dyDescent="0.25">
      <c r="F1691" s="18"/>
      <c r="G1691" s="17"/>
    </row>
    <row r="1692" spans="6:7" x14ac:dyDescent="0.25">
      <c r="F1692" s="18"/>
      <c r="G1692" s="17"/>
    </row>
    <row r="1693" spans="6:7" x14ac:dyDescent="0.25">
      <c r="F1693" s="18"/>
      <c r="G1693" s="17"/>
    </row>
    <row r="1694" spans="6:7" x14ac:dyDescent="0.25">
      <c r="F1694" s="18"/>
      <c r="G1694" s="17"/>
    </row>
    <row r="1695" spans="6:7" x14ac:dyDescent="0.25">
      <c r="F1695" s="18"/>
      <c r="G1695" s="17"/>
    </row>
    <row r="1696" spans="6:7" x14ac:dyDescent="0.25">
      <c r="F1696" s="18"/>
      <c r="G1696" s="17"/>
    </row>
    <row r="1697" spans="6:7" x14ac:dyDescent="0.25">
      <c r="F1697" s="18"/>
      <c r="G1697" s="17"/>
    </row>
    <row r="1698" spans="6:7" x14ac:dyDescent="0.25">
      <c r="F1698" s="18"/>
      <c r="G1698" s="17"/>
    </row>
    <row r="1699" spans="6:7" x14ac:dyDescent="0.25">
      <c r="F1699" s="18"/>
      <c r="G1699" s="17"/>
    </row>
    <row r="1700" spans="6:7" x14ac:dyDescent="0.25">
      <c r="F1700" s="18"/>
      <c r="G1700" s="17"/>
    </row>
    <row r="1701" spans="6:7" x14ac:dyDescent="0.25">
      <c r="F1701" s="18"/>
      <c r="G1701" s="17"/>
    </row>
    <row r="1702" spans="6:7" x14ac:dyDescent="0.25">
      <c r="F1702" s="18"/>
      <c r="G1702" s="17"/>
    </row>
    <row r="1703" spans="6:7" x14ac:dyDescent="0.25">
      <c r="F1703" s="18"/>
      <c r="G1703" s="17"/>
    </row>
    <row r="1704" spans="6:7" x14ac:dyDescent="0.25">
      <c r="F1704" s="18"/>
      <c r="G1704" s="17"/>
    </row>
    <row r="1705" spans="6:7" x14ac:dyDescent="0.25">
      <c r="F1705" s="18"/>
      <c r="G1705" s="17"/>
    </row>
    <row r="1706" spans="6:7" x14ac:dyDescent="0.25">
      <c r="F1706" s="18"/>
      <c r="G1706" s="17"/>
    </row>
    <row r="1707" spans="6:7" x14ac:dyDescent="0.25">
      <c r="F1707" s="18"/>
      <c r="G1707" s="17"/>
    </row>
    <row r="1708" spans="6:7" x14ac:dyDescent="0.25">
      <c r="F1708" s="18"/>
      <c r="G1708" s="17"/>
    </row>
    <row r="1709" spans="6:7" x14ac:dyDescent="0.25">
      <c r="F1709" s="18"/>
      <c r="G1709" s="17"/>
    </row>
    <row r="1710" spans="6:7" x14ac:dyDescent="0.25">
      <c r="F1710" s="18"/>
      <c r="G1710" s="17"/>
    </row>
    <row r="1711" spans="6:7" x14ac:dyDescent="0.25">
      <c r="F1711" s="18"/>
      <c r="G1711" s="17"/>
    </row>
    <row r="1712" spans="6:7" x14ac:dyDescent="0.25">
      <c r="F1712" s="18"/>
      <c r="G1712" s="17"/>
    </row>
    <row r="1713" spans="6:7" x14ac:dyDescent="0.25">
      <c r="F1713" s="18"/>
      <c r="G1713" s="17"/>
    </row>
    <row r="1714" spans="6:7" x14ac:dyDescent="0.25">
      <c r="F1714" s="18"/>
      <c r="G1714" s="17"/>
    </row>
    <row r="1715" spans="6:7" x14ac:dyDescent="0.25">
      <c r="F1715" s="18"/>
      <c r="G1715" s="17"/>
    </row>
    <row r="1716" spans="6:7" x14ac:dyDescent="0.25">
      <c r="F1716" s="18"/>
      <c r="G1716" s="17"/>
    </row>
    <row r="1717" spans="6:7" x14ac:dyDescent="0.25">
      <c r="F1717" s="18"/>
      <c r="G1717" s="17"/>
    </row>
    <row r="1718" spans="6:7" x14ac:dyDescent="0.25">
      <c r="F1718" s="18"/>
      <c r="G1718" s="17"/>
    </row>
    <row r="1719" spans="6:7" x14ac:dyDescent="0.25">
      <c r="F1719" s="18"/>
      <c r="G1719" s="17"/>
    </row>
    <row r="1720" spans="6:7" x14ac:dyDescent="0.25">
      <c r="F1720" s="18"/>
      <c r="G1720" s="17"/>
    </row>
    <row r="1721" spans="6:7" x14ac:dyDescent="0.25">
      <c r="F1721" s="18"/>
      <c r="G1721" s="17"/>
    </row>
    <row r="1722" spans="6:7" x14ac:dyDescent="0.25">
      <c r="F1722" s="18"/>
      <c r="G1722" s="17"/>
    </row>
    <row r="1723" spans="6:7" x14ac:dyDescent="0.25">
      <c r="F1723" s="18"/>
      <c r="G1723" s="17"/>
    </row>
    <row r="1724" spans="6:7" x14ac:dyDescent="0.25">
      <c r="F1724" s="18"/>
      <c r="G1724" s="17"/>
    </row>
    <row r="1725" spans="6:7" x14ac:dyDescent="0.25">
      <c r="F1725" s="18"/>
      <c r="G1725" s="17"/>
    </row>
    <row r="1726" spans="6:7" x14ac:dyDescent="0.25">
      <c r="F1726" s="18"/>
      <c r="G1726" s="17"/>
    </row>
    <row r="1727" spans="6:7" x14ac:dyDescent="0.25">
      <c r="F1727" s="18"/>
      <c r="G1727" s="17"/>
    </row>
    <row r="1728" spans="6:7" x14ac:dyDescent="0.25">
      <c r="F1728" s="18"/>
      <c r="G1728" s="17"/>
    </row>
    <row r="1729" spans="6:7" x14ac:dyDescent="0.25">
      <c r="F1729" s="18"/>
      <c r="G1729" s="17"/>
    </row>
    <row r="1730" spans="6:7" x14ac:dyDescent="0.25">
      <c r="F1730" s="18"/>
      <c r="G1730" s="17"/>
    </row>
    <row r="1731" spans="6:7" x14ac:dyDescent="0.25">
      <c r="F1731" s="18"/>
      <c r="G1731" s="17"/>
    </row>
    <row r="1732" spans="6:7" x14ac:dyDescent="0.25">
      <c r="F1732" s="18"/>
      <c r="G1732" s="17"/>
    </row>
    <row r="1733" spans="6:7" x14ac:dyDescent="0.25">
      <c r="F1733" s="18"/>
      <c r="G1733" s="17"/>
    </row>
    <row r="1734" spans="6:7" x14ac:dyDescent="0.25">
      <c r="F1734" s="18"/>
      <c r="G1734" s="17"/>
    </row>
    <row r="1735" spans="6:7" x14ac:dyDescent="0.25">
      <c r="F1735" s="18"/>
      <c r="G1735" s="17"/>
    </row>
    <row r="1736" spans="6:7" x14ac:dyDescent="0.25">
      <c r="F1736" s="18"/>
      <c r="G1736" s="17"/>
    </row>
    <row r="1737" spans="6:7" x14ac:dyDescent="0.25">
      <c r="F1737" s="18"/>
      <c r="G1737" s="17"/>
    </row>
    <row r="1738" spans="6:7" x14ac:dyDescent="0.25">
      <c r="F1738" s="18"/>
      <c r="G1738" s="17"/>
    </row>
    <row r="1739" spans="6:7" x14ac:dyDescent="0.25">
      <c r="F1739" s="18"/>
      <c r="G1739" s="17"/>
    </row>
    <row r="1740" spans="6:7" x14ac:dyDescent="0.25">
      <c r="F1740" s="18"/>
      <c r="G1740" s="17"/>
    </row>
    <row r="1741" spans="6:7" x14ac:dyDescent="0.25">
      <c r="F1741" s="18"/>
      <c r="G1741" s="17"/>
    </row>
    <row r="1742" spans="6:7" x14ac:dyDescent="0.25">
      <c r="F1742" s="18"/>
      <c r="G1742" s="17"/>
    </row>
    <row r="1743" spans="6:7" x14ac:dyDescent="0.25">
      <c r="F1743" s="18"/>
      <c r="G1743" s="17"/>
    </row>
    <row r="1744" spans="6:7" x14ac:dyDescent="0.25">
      <c r="F1744" s="18"/>
      <c r="G1744" s="17"/>
    </row>
    <row r="1745" spans="6:7" x14ac:dyDescent="0.25">
      <c r="F1745" s="18"/>
      <c r="G1745" s="17"/>
    </row>
    <row r="1746" spans="6:7" x14ac:dyDescent="0.25">
      <c r="F1746" s="18"/>
      <c r="G1746" s="17"/>
    </row>
    <row r="1747" spans="6:7" x14ac:dyDescent="0.25">
      <c r="F1747" s="18"/>
      <c r="G1747" s="17"/>
    </row>
    <row r="1748" spans="6:7" x14ac:dyDescent="0.25">
      <c r="F1748" s="18"/>
      <c r="G1748" s="17"/>
    </row>
    <row r="1749" spans="6:7" x14ac:dyDescent="0.25">
      <c r="F1749" s="18"/>
      <c r="G1749" s="17"/>
    </row>
    <row r="1750" spans="6:7" x14ac:dyDescent="0.25">
      <c r="F1750" s="18"/>
      <c r="G1750" s="17"/>
    </row>
    <row r="1751" spans="6:7" x14ac:dyDescent="0.25">
      <c r="F1751" s="18"/>
      <c r="G1751" s="17"/>
    </row>
    <row r="1752" spans="6:7" x14ac:dyDescent="0.25">
      <c r="F1752" s="18"/>
      <c r="G1752" s="17"/>
    </row>
    <row r="1753" spans="6:7" x14ac:dyDescent="0.25">
      <c r="F1753" s="18"/>
      <c r="G1753" s="17"/>
    </row>
    <row r="1754" spans="6:7" x14ac:dyDescent="0.25">
      <c r="F1754" s="18"/>
      <c r="G1754" s="17"/>
    </row>
    <row r="1755" spans="6:7" x14ac:dyDescent="0.25">
      <c r="F1755" s="18"/>
      <c r="G1755" s="17"/>
    </row>
    <row r="1756" spans="6:7" x14ac:dyDescent="0.25">
      <c r="F1756" s="18"/>
      <c r="G1756" s="17"/>
    </row>
    <row r="1757" spans="6:7" x14ac:dyDescent="0.25">
      <c r="F1757" s="18"/>
      <c r="G1757" s="17"/>
    </row>
    <row r="1758" spans="6:7" x14ac:dyDescent="0.25">
      <c r="F1758" s="18"/>
      <c r="G1758" s="17"/>
    </row>
    <row r="1759" spans="6:7" x14ac:dyDescent="0.25">
      <c r="F1759" s="18"/>
      <c r="G1759" s="17"/>
    </row>
    <row r="1760" spans="6:7" x14ac:dyDescent="0.25">
      <c r="F1760" s="18"/>
      <c r="G1760" s="17"/>
    </row>
    <row r="1761" spans="6:7" x14ac:dyDescent="0.25">
      <c r="F1761" s="18"/>
      <c r="G1761" s="17"/>
    </row>
    <row r="1762" spans="6:7" x14ac:dyDescent="0.25">
      <c r="F1762" s="18"/>
      <c r="G1762" s="17"/>
    </row>
    <row r="1763" spans="6:7" x14ac:dyDescent="0.25">
      <c r="F1763" s="18"/>
      <c r="G1763" s="17"/>
    </row>
    <row r="1764" spans="6:7" x14ac:dyDescent="0.25">
      <c r="F1764" s="18"/>
      <c r="G1764" s="17"/>
    </row>
    <row r="1765" spans="6:7" x14ac:dyDescent="0.25">
      <c r="F1765" s="18"/>
      <c r="G1765" s="17"/>
    </row>
    <row r="1766" spans="6:7" x14ac:dyDescent="0.25">
      <c r="F1766" s="18"/>
      <c r="G1766" s="17"/>
    </row>
    <row r="1767" spans="6:7" x14ac:dyDescent="0.25">
      <c r="F1767" s="18"/>
      <c r="G1767" s="17"/>
    </row>
    <row r="1768" spans="6:7" x14ac:dyDescent="0.25">
      <c r="F1768" s="18"/>
      <c r="G1768" s="17"/>
    </row>
    <row r="1769" spans="6:7" x14ac:dyDescent="0.25">
      <c r="F1769" s="18"/>
      <c r="G1769" s="17"/>
    </row>
    <row r="1770" spans="6:7" x14ac:dyDescent="0.25">
      <c r="F1770" s="18"/>
      <c r="G1770" s="17"/>
    </row>
    <row r="1771" spans="6:7" x14ac:dyDescent="0.25">
      <c r="F1771" s="18"/>
      <c r="G1771" s="17"/>
    </row>
    <row r="1772" spans="6:7" x14ac:dyDescent="0.25">
      <c r="F1772" s="18"/>
      <c r="G1772" s="17"/>
    </row>
    <row r="1773" spans="6:7" x14ac:dyDescent="0.25">
      <c r="F1773" s="18"/>
      <c r="G1773" s="17"/>
    </row>
    <row r="1774" spans="6:7" x14ac:dyDescent="0.25">
      <c r="F1774" s="18"/>
      <c r="G1774" s="17"/>
    </row>
    <row r="1775" spans="6:7" x14ac:dyDescent="0.25">
      <c r="F1775" s="18"/>
      <c r="G1775" s="17"/>
    </row>
    <row r="1776" spans="6:7" x14ac:dyDescent="0.25">
      <c r="F1776" s="18"/>
      <c r="G1776" s="17"/>
    </row>
    <row r="1777" spans="6:7" x14ac:dyDescent="0.25">
      <c r="F1777" s="18"/>
      <c r="G1777" s="17"/>
    </row>
    <row r="1778" spans="6:7" x14ac:dyDescent="0.25">
      <c r="F1778" s="18"/>
      <c r="G1778" s="17"/>
    </row>
    <row r="1779" spans="6:7" x14ac:dyDescent="0.25">
      <c r="F1779" s="18"/>
      <c r="G1779" s="17"/>
    </row>
    <row r="1780" spans="6:7" x14ac:dyDescent="0.25">
      <c r="F1780" s="18"/>
      <c r="G1780" s="17"/>
    </row>
    <row r="1781" spans="6:7" x14ac:dyDescent="0.25">
      <c r="F1781" s="18"/>
      <c r="G1781" s="17"/>
    </row>
    <row r="1782" spans="6:7" x14ac:dyDescent="0.25">
      <c r="F1782" s="18"/>
      <c r="G1782" s="17"/>
    </row>
    <row r="1783" spans="6:7" x14ac:dyDescent="0.25">
      <c r="F1783" s="18"/>
      <c r="G1783" s="17"/>
    </row>
    <row r="1784" spans="6:7" x14ac:dyDescent="0.25">
      <c r="F1784" s="18"/>
      <c r="G1784" s="17"/>
    </row>
    <row r="1785" spans="6:7" x14ac:dyDescent="0.25">
      <c r="F1785" s="18"/>
      <c r="G1785" s="17"/>
    </row>
    <row r="1786" spans="6:7" x14ac:dyDescent="0.25">
      <c r="F1786" s="18"/>
      <c r="G1786" s="17"/>
    </row>
    <row r="1787" spans="6:7" x14ac:dyDescent="0.25">
      <c r="F1787" s="18"/>
      <c r="G1787" s="17"/>
    </row>
    <row r="1788" spans="6:7" x14ac:dyDescent="0.25">
      <c r="F1788" s="18"/>
      <c r="G1788" s="17"/>
    </row>
    <row r="1789" spans="6:7" x14ac:dyDescent="0.25">
      <c r="F1789" s="18"/>
      <c r="G1789" s="17"/>
    </row>
    <row r="1790" spans="6:7" x14ac:dyDescent="0.25">
      <c r="F1790" s="18"/>
      <c r="G1790" s="17"/>
    </row>
    <row r="1791" spans="6:7" x14ac:dyDescent="0.25">
      <c r="F1791" s="18"/>
      <c r="G1791" s="17"/>
    </row>
    <row r="1792" spans="6:7" x14ac:dyDescent="0.25">
      <c r="F1792" s="18"/>
      <c r="G1792" s="17"/>
    </row>
    <row r="1793" spans="6:7" x14ac:dyDescent="0.25">
      <c r="F1793" s="18"/>
      <c r="G1793" s="17"/>
    </row>
    <row r="1794" spans="6:7" x14ac:dyDescent="0.25">
      <c r="F1794" s="18"/>
      <c r="G1794" s="17"/>
    </row>
    <row r="1795" spans="6:7" x14ac:dyDescent="0.25">
      <c r="F1795" s="18"/>
      <c r="G1795" s="17"/>
    </row>
    <row r="1796" spans="6:7" x14ac:dyDescent="0.25">
      <c r="F1796" s="18"/>
      <c r="G1796" s="17"/>
    </row>
    <row r="1797" spans="6:7" x14ac:dyDescent="0.25">
      <c r="F1797" s="18"/>
      <c r="G1797" s="17"/>
    </row>
    <row r="1798" spans="6:7" x14ac:dyDescent="0.25">
      <c r="F1798" s="18"/>
      <c r="G1798" s="17"/>
    </row>
    <row r="1799" spans="6:7" x14ac:dyDescent="0.25">
      <c r="F1799" s="18"/>
      <c r="G1799" s="17"/>
    </row>
    <row r="1800" spans="6:7" x14ac:dyDescent="0.25">
      <c r="F1800" s="18"/>
      <c r="G1800" s="17"/>
    </row>
    <row r="1801" spans="6:7" x14ac:dyDescent="0.25">
      <c r="F1801" s="18"/>
      <c r="G1801" s="17"/>
    </row>
    <row r="1802" spans="6:7" x14ac:dyDescent="0.25">
      <c r="F1802" s="18"/>
      <c r="G1802" s="17"/>
    </row>
    <row r="1803" spans="6:7" x14ac:dyDescent="0.25">
      <c r="F1803" s="18"/>
      <c r="G1803" s="17"/>
    </row>
    <row r="1804" spans="6:7" x14ac:dyDescent="0.25">
      <c r="F1804" s="18"/>
      <c r="G1804" s="17"/>
    </row>
    <row r="1805" spans="6:7" x14ac:dyDescent="0.25">
      <c r="F1805" s="18"/>
      <c r="G1805" s="17"/>
    </row>
    <row r="1806" spans="6:7" x14ac:dyDescent="0.25">
      <c r="F1806" s="18"/>
      <c r="G1806" s="17"/>
    </row>
    <row r="1807" spans="6:7" x14ac:dyDescent="0.25">
      <c r="F1807" s="18"/>
      <c r="G1807" s="17"/>
    </row>
    <row r="1808" spans="6:7" x14ac:dyDescent="0.25">
      <c r="F1808" s="18"/>
      <c r="G1808" s="17"/>
    </row>
    <row r="1809" spans="6:7" x14ac:dyDescent="0.25">
      <c r="F1809" s="18"/>
      <c r="G1809" s="17"/>
    </row>
    <row r="1810" spans="6:7" x14ac:dyDescent="0.25">
      <c r="F1810" s="18"/>
      <c r="G1810" s="17"/>
    </row>
    <row r="1811" spans="6:7" x14ac:dyDescent="0.25">
      <c r="F1811" s="18"/>
      <c r="G1811" s="17"/>
    </row>
    <row r="1812" spans="6:7" x14ac:dyDescent="0.25">
      <c r="F1812" s="18"/>
      <c r="G1812" s="17"/>
    </row>
    <row r="1813" spans="6:7" x14ac:dyDescent="0.25">
      <c r="F1813" s="18"/>
      <c r="G1813" s="17"/>
    </row>
    <row r="1814" spans="6:7" x14ac:dyDescent="0.25">
      <c r="F1814" s="18"/>
      <c r="G1814" s="17"/>
    </row>
    <row r="1815" spans="6:7" x14ac:dyDescent="0.25">
      <c r="F1815" s="18"/>
      <c r="G1815" s="17"/>
    </row>
    <row r="1816" spans="6:7" x14ac:dyDescent="0.25">
      <c r="F1816" s="18"/>
      <c r="G1816" s="17"/>
    </row>
    <row r="1817" spans="6:7" x14ac:dyDescent="0.25">
      <c r="F1817" s="18"/>
      <c r="G1817" s="17"/>
    </row>
    <row r="1818" spans="6:7" x14ac:dyDescent="0.25">
      <c r="F1818" s="18"/>
      <c r="G1818" s="17"/>
    </row>
    <row r="1819" spans="6:7" x14ac:dyDescent="0.25">
      <c r="F1819" s="18"/>
      <c r="G1819" s="17"/>
    </row>
    <row r="1820" spans="6:7" x14ac:dyDescent="0.25">
      <c r="F1820" s="18"/>
      <c r="G1820" s="17"/>
    </row>
    <row r="1821" spans="6:7" x14ac:dyDescent="0.25">
      <c r="F1821" s="18"/>
      <c r="G1821" s="17"/>
    </row>
    <row r="1822" spans="6:7" x14ac:dyDescent="0.25">
      <c r="F1822" s="18"/>
      <c r="G1822" s="17"/>
    </row>
    <row r="1823" spans="6:7" x14ac:dyDescent="0.25">
      <c r="F1823" s="18"/>
      <c r="G1823" s="17"/>
    </row>
    <row r="1824" spans="6:7" x14ac:dyDescent="0.25">
      <c r="F1824" s="18"/>
      <c r="G1824" s="17"/>
    </row>
    <row r="1825" spans="6:7" x14ac:dyDescent="0.25">
      <c r="F1825" s="18"/>
      <c r="G1825" s="17"/>
    </row>
    <row r="1826" spans="6:7" x14ac:dyDescent="0.25">
      <c r="F1826" s="18"/>
      <c r="G1826" s="17"/>
    </row>
    <row r="1827" spans="6:7" x14ac:dyDescent="0.25">
      <c r="F1827" s="18"/>
      <c r="G1827" s="17"/>
    </row>
    <row r="1828" spans="6:7" x14ac:dyDescent="0.25">
      <c r="F1828" s="18"/>
      <c r="G1828" s="17"/>
    </row>
    <row r="1829" spans="6:7" x14ac:dyDescent="0.25">
      <c r="F1829" s="18"/>
      <c r="G1829" s="17"/>
    </row>
    <row r="1830" spans="6:7" x14ac:dyDescent="0.25">
      <c r="F1830" s="18"/>
      <c r="G1830" s="17"/>
    </row>
    <row r="1831" spans="6:7" x14ac:dyDescent="0.25">
      <c r="F1831" s="18"/>
      <c r="G1831" s="17"/>
    </row>
    <row r="1832" spans="6:7" x14ac:dyDescent="0.25">
      <c r="F1832" s="18"/>
      <c r="G1832" s="17"/>
    </row>
    <row r="1833" spans="6:7" x14ac:dyDescent="0.25">
      <c r="F1833" s="18"/>
      <c r="G1833" s="17"/>
    </row>
    <row r="1834" spans="6:7" x14ac:dyDescent="0.25">
      <c r="F1834" s="18"/>
      <c r="G1834" s="17"/>
    </row>
    <row r="1835" spans="6:7" x14ac:dyDescent="0.25">
      <c r="F1835" s="18"/>
      <c r="G1835" s="17"/>
    </row>
    <row r="1836" spans="6:7" x14ac:dyDescent="0.25">
      <c r="F1836" s="18"/>
      <c r="G1836" s="17"/>
    </row>
    <row r="1837" spans="6:7" x14ac:dyDescent="0.25">
      <c r="F1837" s="18"/>
      <c r="G1837" s="17"/>
    </row>
    <row r="1838" spans="6:7" x14ac:dyDescent="0.25">
      <c r="F1838" s="18"/>
      <c r="G1838" s="17"/>
    </row>
    <row r="1839" spans="6:7" x14ac:dyDescent="0.25">
      <c r="F1839" s="18"/>
      <c r="G1839" s="17"/>
    </row>
    <row r="1840" spans="6:7" x14ac:dyDescent="0.25">
      <c r="F1840" s="18"/>
      <c r="G1840" s="17"/>
    </row>
    <row r="1841" spans="6:7" x14ac:dyDescent="0.25">
      <c r="F1841" s="18"/>
      <c r="G1841" s="17"/>
    </row>
    <row r="1842" spans="6:7" x14ac:dyDescent="0.25">
      <c r="F1842" s="18"/>
      <c r="G1842" s="17"/>
    </row>
    <row r="1843" spans="6:7" x14ac:dyDescent="0.25">
      <c r="F1843" s="18"/>
      <c r="G1843" s="17"/>
    </row>
    <row r="1844" spans="6:7" x14ac:dyDescent="0.25">
      <c r="F1844" s="18"/>
      <c r="G1844" s="17"/>
    </row>
    <row r="1845" spans="6:7" x14ac:dyDescent="0.25">
      <c r="F1845" s="18"/>
      <c r="G1845" s="17"/>
    </row>
    <row r="1846" spans="6:7" x14ac:dyDescent="0.25">
      <c r="F1846" s="18"/>
      <c r="G1846" s="17"/>
    </row>
    <row r="1847" spans="6:7" x14ac:dyDescent="0.25">
      <c r="F1847" s="18"/>
      <c r="G1847" s="17"/>
    </row>
    <row r="1848" spans="6:7" x14ac:dyDescent="0.25">
      <c r="F1848" s="18"/>
      <c r="G1848" s="17"/>
    </row>
    <row r="1849" spans="6:7" x14ac:dyDescent="0.25">
      <c r="F1849" s="18"/>
      <c r="G1849" s="17"/>
    </row>
    <row r="1850" spans="6:7" x14ac:dyDescent="0.25">
      <c r="F1850" s="18"/>
      <c r="G1850" s="17"/>
    </row>
    <row r="1851" spans="6:7" x14ac:dyDescent="0.25">
      <c r="F1851" s="18"/>
      <c r="G1851" s="17"/>
    </row>
    <row r="1852" spans="6:7" x14ac:dyDescent="0.25">
      <c r="F1852" s="18"/>
      <c r="G1852" s="17"/>
    </row>
    <row r="1853" spans="6:7" x14ac:dyDescent="0.25">
      <c r="F1853" s="18"/>
      <c r="G1853" s="17"/>
    </row>
    <row r="1854" spans="6:7" x14ac:dyDescent="0.25">
      <c r="F1854" s="18"/>
      <c r="G1854" s="17"/>
    </row>
    <row r="1855" spans="6:7" x14ac:dyDescent="0.25">
      <c r="F1855" s="18"/>
      <c r="G1855" s="17"/>
    </row>
    <row r="1856" spans="6:7" x14ac:dyDescent="0.25">
      <c r="F1856" s="18"/>
      <c r="G1856" s="17"/>
    </row>
    <row r="1857" spans="6:7" x14ac:dyDescent="0.25">
      <c r="F1857" s="18"/>
      <c r="G1857" s="17"/>
    </row>
    <row r="1858" spans="6:7" x14ac:dyDescent="0.25">
      <c r="F1858" s="18"/>
      <c r="G1858" s="17"/>
    </row>
    <row r="1859" spans="6:7" x14ac:dyDescent="0.25">
      <c r="F1859" s="18"/>
      <c r="G1859" s="17"/>
    </row>
    <row r="1860" spans="6:7" x14ac:dyDescent="0.25">
      <c r="F1860" s="18"/>
      <c r="G1860" s="17"/>
    </row>
    <row r="1861" spans="6:7" x14ac:dyDescent="0.25">
      <c r="F1861" s="18"/>
      <c r="G1861" s="17"/>
    </row>
    <row r="1862" spans="6:7" x14ac:dyDescent="0.25">
      <c r="F1862" s="18"/>
      <c r="G1862" s="17"/>
    </row>
    <row r="1863" spans="6:7" x14ac:dyDescent="0.25">
      <c r="F1863" s="18"/>
      <c r="G1863" s="17"/>
    </row>
    <row r="1864" spans="6:7" x14ac:dyDescent="0.25">
      <c r="F1864" s="18"/>
      <c r="G1864" s="17"/>
    </row>
    <row r="1865" spans="6:7" x14ac:dyDescent="0.25">
      <c r="F1865" s="18"/>
      <c r="G1865" s="17"/>
    </row>
    <row r="1866" spans="6:7" x14ac:dyDescent="0.25">
      <c r="F1866" s="18"/>
      <c r="G1866" s="17"/>
    </row>
    <row r="1867" spans="6:7" x14ac:dyDescent="0.25">
      <c r="F1867" s="18"/>
      <c r="G1867" s="17"/>
    </row>
    <row r="1868" spans="6:7" x14ac:dyDescent="0.25">
      <c r="F1868" s="18"/>
      <c r="G1868" s="17"/>
    </row>
    <row r="1869" spans="6:7" x14ac:dyDescent="0.25">
      <c r="F1869" s="18"/>
      <c r="G1869" s="17"/>
    </row>
    <row r="1870" spans="6:7" x14ac:dyDescent="0.25">
      <c r="F1870" s="18"/>
      <c r="G1870" s="17"/>
    </row>
    <row r="1871" spans="6:7" x14ac:dyDescent="0.25">
      <c r="F1871" s="18"/>
      <c r="G1871" s="17"/>
    </row>
    <row r="1872" spans="6:7" x14ac:dyDescent="0.25">
      <c r="F1872" s="18"/>
      <c r="G1872" s="17"/>
    </row>
    <row r="1873" spans="6:7" x14ac:dyDescent="0.25">
      <c r="F1873" s="18"/>
      <c r="G1873" s="17"/>
    </row>
    <row r="1874" spans="6:7" x14ac:dyDescent="0.25">
      <c r="F1874" s="18"/>
      <c r="G1874" s="17"/>
    </row>
    <row r="1875" spans="6:7" x14ac:dyDescent="0.25">
      <c r="F1875" s="18"/>
      <c r="G1875" s="17"/>
    </row>
    <row r="1876" spans="6:7" x14ac:dyDescent="0.25">
      <c r="F1876" s="18"/>
      <c r="G1876" s="17"/>
    </row>
    <row r="1877" spans="6:7" x14ac:dyDescent="0.25">
      <c r="F1877" s="18"/>
      <c r="G1877" s="17"/>
    </row>
    <row r="1878" spans="6:7" x14ac:dyDescent="0.25">
      <c r="F1878" s="18"/>
      <c r="G1878" s="17"/>
    </row>
    <row r="1879" spans="6:7" x14ac:dyDescent="0.25">
      <c r="F1879" s="18"/>
      <c r="G1879" s="17"/>
    </row>
    <row r="1880" spans="6:7" x14ac:dyDescent="0.25">
      <c r="F1880" s="18"/>
      <c r="G1880" s="17"/>
    </row>
    <row r="1881" spans="6:7" x14ac:dyDescent="0.25">
      <c r="F1881" s="18"/>
      <c r="G1881" s="17"/>
    </row>
    <row r="1882" spans="6:7" x14ac:dyDescent="0.25">
      <c r="F1882" s="18"/>
      <c r="G1882" s="17"/>
    </row>
    <row r="1883" spans="6:7" x14ac:dyDescent="0.25">
      <c r="F1883" s="18"/>
      <c r="G1883" s="17"/>
    </row>
    <row r="1884" spans="6:7" x14ac:dyDescent="0.25">
      <c r="F1884" s="18"/>
      <c r="G1884" s="17"/>
    </row>
    <row r="1885" spans="6:7" x14ac:dyDescent="0.25">
      <c r="F1885" s="18"/>
      <c r="G1885" s="17"/>
    </row>
    <row r="1886" spans="6:7" x14ac:dyDescent="0.25">
      <c r="F1886" s="18"/>
      <c r="G1886" s="17"/>
    </row>
    <row r="1887" spans="6:7" x14ac:dyDescent="0.25">
      <c r="F1887" s="18"/>
      <c r="G1887" s="17"/>
    </row>
    <row r="1888" spans="6:7" x14ac:dyDescent="0.25">
      <c r="F1888" s="18"/>
      <c r="G1888" s="17"/>
    </row>
    <row r="1889" spans="6:7" x14ac:dyDescent="0.25">
      <c r="F1889" s="18"/>
      <c r="G1889" s="17"/>
    </row>
    <row r="1890" spans="6:7" x14ac:dyDescent="0.25">
      <c r="F1890" s="18"/>
      <c r="G1890" s="17"/>
    </row>
    <row r="1891" spans="6:7" x14ac:dyDescent="0.25">
      <c r="F1891" s="18"/>
      <c r="G1891" s="17"/>
    </row>
    <row r="1892" spans="6:7" x14ac:dyDescent="0.25">
      <c r="F1892" s="18"/>
      <c r="G1892" s="17"/>
    </row>
    <row r="1893" spans="6:7" x14ac:dyDescent="0.25">
      <c r="F1893" s="18"/>
      <c r="G1893" s="17"/>
    </row>
    <row r="1894" spans="6:7" x14ac:dyDescent="0.25">
      <c r="F1894" s="18"/>
      <c r="G1894" s="17"/>
    </row>
    <row r="1895" spans="6:7" x14ac:dyDescent="0.25">
      <c r="F1895" s="18"/>
      <c r="G1895" s="17"/>
    </row>
    <row r="1896" spans="6:7" x14ac:dyDescent="0.25">
      <c r="F1896" s="18"/>
      <c r="G1896" s="17"/>
    </row>
    <row r="1897" spans="6:7" x14ac:dyDescent="0.25">
      <c r="F1897" s="18"/>
      <c r="G1897" s="17"/>
    </row>
    <row r="1898" spans="6:7" x14ac:dyDescent="0.25">
      <c r="F1898" s="18"/>
      <c r="G1898" s="17"/>
    </row>
    <row r="1899" spans="6:7" x14ac:dyDescent="0.25">
      <c r="F1899" s="18"/>
      <c r="G1899" s="17"/>
    </row>
    <row r="1900" spans="6:7" x14ac:dyDescent="0.25">
      <c r="F1900" s="18"/>
      <c r="G1900" s="17"/>
    </row>
    <row r="1901" spans="6:7" x14ac:dyDescent="0.25">
      <c r="F1901" s="18"/>
      <c r="G1901" s="17"/>
    </row>
    <row r="1902" spans="6:7" x14ac:dyDescent="0.25">
      <c r="F1902" s="18"/>
      <c r="G1902" s="17"/>
    </row>
    <row r="1903" spans="6:7" x14ac:dyDescent="0.25">
      <c r="F1903" s="18"/>
      <c r="G1903" s="17"/>
    </row>
    <row r="1904" spans="6:7" x14ac:dyDescent="0.25">
      <c r="F1904" s="18"/>
      <c r="G1904" s="17"/>
    </row>
    <row r="1905" spans="6:7" x14ac:dyDescent="0.25">
      <c r="F1905" s="18"/>
      <c r="G1905" s="17"/>
    </row>
    <row r="1906" spans="6:7" x14ac:dyDescent="0.25">
      <c r="F1906" s="18"/>
      <c r="G1906" s="17"/>
    </row>
    <row r="1907" spans="6:7" x14ac:dyDescent="0.25">
      <c r="F1907" s="18"/>
      <c r="G1907" s="17"/>
    </row>
    <row r="1908" spans="6:7" x14ac:dyDescent="0.25">
      <c r="F1908" s="18"/>
      <c r="G1908" s="17"/>
    </row>
    <row r="1909" spans="6:7" x14ac:dyDescent="0.25">
      <c r="F1909" s="18"/>
      <c r="G1909" s="17"/>
    </row>
    <row r="1910" spans="6:7" x14ac:dyDescent="0.25">
      <c r="F1910" s="18"/>
      <c r="G1910" s="17"/>
    </row>
    <row r="1911" spans="6:7" x14ac:dyDescent="0.25">
      <c r="F1911" s="18"/>
      <c r="G1911" s="17"/>
    </row>
    <row r="1912" spans="6:7" x14ac:dyDescent="0.25">
      <c r="F1912" s="18"/>
      <c r="G1912" s="17"/>
    </row>
    <row r="1913" spans="6:7" x14ac:dyDescent="0.25">
      <c r="F1913" s="18"/>
      <c r="G1913" s="17"/>
    </row>
    <row r="1914" spans="6:7" x14ac:dyDescent="0.25">
      <c r="F1914" s="18"/>
      <c r="G1914" s="17"/>
    </row>
    <row r="1915" spans="6:7" x14ac:dyDescent="0.25">
      <c r="F1915" s="18"/>
      <c r="G1915" s="17"/>
    </row>
    <row r="1916" spans="6:7" x14ac:dyDescent="0.25">
      <c r="F1916" s="18"/>
      <c r="G1916" s="17"/>
    </row>
    <row r="1917" spans="6:7" x14ac:dyDescent="0.25">
      <c r="F1917" s="18"/>
      <c r="G1917" s="17"/>
    </row>
    <row r="1918" spans="6:7" x14ac:dyDescent="0.25">
      <c r="F1918" s="18"/>
      <c r="G1918" s="17"/>
    </row>
    <row r="1919" spans="6:7" x14ac:dyDescent="0.25">
      <c r="F1919" s="18"/>
      <c r="G1919" s="17"/>
    </row>
    <row r="1920" spans="6:7" x14ac:dyDescent="0.25">
      <c r="F1920" s="18"/>
      <c r="G1920" s="17"/>
    </row>
    <row r="1921" spans="6:7" x14ac:dyDescent="0.25">
      <c r="F1921" s="18"/>
      <c r="G1921" s="17"/>
    </row>
    <row r="1922" spans="6:7" x14ac:dyDescent="0.25">
      <c r="F1922" s="18"/>
      <c r="G1922" s="17"/>
    </row>
    <row r="1923" spans="6:7" x14ac:dyDescent="0.25">
      <c r="F1923" s="18"/>
      <c r="G1923" s="17"/>
    </row>
    <row r="1924" spans="6:7" x14ac:dyDescent="0.25">
      <c r="F1924" s="18"/>
      <c r="G1924" s="17"/>
    </row>
    <row r="1925" spans="6:7" x14ac:dyDescent="0.25">
      <c r="F1925" s="18"/>
      <c r="G1925" s="17"/>
    </row>
    <row r="1926" spans="6:7" x14ac:dyDescent="0.25">
      <c r="F1926" s="18"/>
      <c r="G1926" s="17"/>
    </row>
    <row r="1927" spans="6:7" x14ac:dyDescent="0.25">
      <c r="F1927" s="18"/>
      <c r="G1927" s="17"/>
    </row>
    <row r="1928" spans="6:7" x14ac:dyDescent="0.25">
      <c r="F1928" s="18"/>
      <c r="G1928" s="17"/>
    </row>
    <row r="1929" spans="6:7" x14ac:dyDescent="0.25">
      <c r="F1929" s="18"/>
      <c r="G1929" s="17"/>
    </row>
    <row r="1930" spans="6:7" x14ac:dyDescent="0.25">
      <c r="F1930" s="18"/>
      <c r="G1930" s="17"/>
    </row>
    <row r="1931" spans="6:7" x14ac:dyDescent="0.25">
      <c r="F1931" s="18"/>
      <c r="G1931" s="17"/>
    </row>
    <row r="1932" spans="6:7" x14ac:dyDescent="0.25">
      <c r="F1932" s="18"/>
      <c r="G1932" s="17"/>
    </row>
    <row r="1933" spans="6:7" x14ac:dyDescent="0.25">
      <c r="F1933" s="18"/>
      <c r="G1933" s="17"/>
    </row>
    <row r="1934" spans="6:7" x14ac:dyDescent="0.25">
      <c r="F1934" s="18"/>
      <c r="G1934" s="17"/>
    </row>
    <row r="1935" spans="6:7" x14ac:dyDescent="0.25">
      <c r="F1935" s="18"/>
      <c r="G1935" s="17"/>
    </row>
    <row r="1936" spans="6:7" x14ac:dyDescent="0.25">
      <c r="F1936" s="18"/>
      <c r="G1936" s="17"/>
    </row>
    <row r="1937" spans="6:7" x14ac:dyDescent="0.25">
      <c r="F1937" s="18"/>
      <c r="G1937" s="17"/>
    </row>
    <row r="1938" spans="6:7" x14ac:dyDescent="0.25">
      <c r="F1938" s="18"/>
      <c r="G1938" s="17"/>
    </row>
    <row r="1939" spans="6:7" x14ac:dyDescent="0.25">
      <c r="F1939" s="18"/>
      <c r="G1939" s="17"/>
    </row>
    <row r="1940" spans="6:7" x14ac:dyDescent="0.25">
      <c r="F1940" s="18"/>
      <c r="G1940" s="17"/>
    </row>
    <row r="1941" spans="6:7" x14ac:dyDescent="0.25">
      <c r="F1941" s="18"/>
      <c r="G1941" s="17"/>
    </row>
    <row r="1942" spans="6:7" x14ac:dyDescent="0.25">
      <c r="F1942" s="18"/>
      <c r="G1942" s="17"/>
    </row>
    <row r="1943" spans="6:7" x14ac:dyDescent="0.25">
      <c r="F1943" s="18"/>
      <c r="G1943" s="17"/>
    </row>
    <row r="1944" spans="6:7" x14ac:dyDescent="0.25">
      <c r="F1944" s="18"/>
      <c r="G1944" s="17"/>
    </row>
    <row r="1945" spans="6:7" x14ac:dyDescent="0.25">
      <c r="F1945" s="18"/>
      <c r="G1945" s="17"/>
    </row>
    <row r="1946" spans="6:7" x14ac:dyDescent="0.25">
      <c r="F1946" s="18"/>
      <c r="G1946" s="17"/>
    </row>
    <row r="1947" spans="6:7" x14ac:dyDescent="0.25">
      <c r="F1947" s="18"/>
      <c r="G1947" s="17"/>
    </row>
    <row r="1948" spans="6:7" x14ac:dyDescent="0.25">
      <c r="F1948" s="18"/>
      <c r="G1948" s="17"/>
    </row>
    <row r="1949" spans="6:7" x14ac:dyDescent="0.25">
      <c r="F1949" s="18"/>
      <c r="G1949" s="17"/>
    </row>
    <row r="1950" spans="6:7" x14ac:dyDescent="0.25">
      <c r="F1950" s="18"/>
      <c r="G1950" s="17"/>
    </row>
    <row r="1951" spans="6:7" x14ac:dyDescent="0.25">
      <c r="F1951" s="18"/>
      <c r="G1951" s="17"/>
    </row>
    <row r="1952" spans="6:7" x14ac:dyDescent="0.25">
      <c r="F1952" s="18"/>
      <c r="G1952" s="17"/>
    </row>
    <row r="1953" spans="6:7" x14ac:dyDescent="0.25">
      <c r="F1953" s="18"/>
      <c r="G1953" s="17"/>
    </row>
    <row r="1954" spans="6:7" x14ac:dyDescent="0.25">
      <c r="F1954" s="18"/>
      <c r="G1954" s="17"/>
    </row>
    <row r="1955" spans="6:7" x14ac:dyDescent="0.25">
      <c r="F1955" s="18"/>
      <c r="G1955" s="17"/>
    </row>
    <row r="1956" spans="6:7" x14ac:dyDescent="0.25">
      <c r="F1956" s="18"/>
      <c r="G1956" s="17"/>
    </row>
    <row r="1957" spans="6:7" x14ac:dyDescent="0.25">
      <c r="F1957" s="18"/>
      <c r="G1957" s="17"/>
    </row>
    <row r="1958" spans="6:7" x14ac:dyDescent="0.25">
      <c r="F1958" s="18"/>
      <c r="G1958" s="17"/>
    </row>
    <row r="1959" spans="6:7" x14ac:dyDescent="0.25">
      <c r="F1959" s="18"/>
      <c r="G1959" s="17"/>
    </row>
    <row r="1960" spans="6:7" x14ac:dyDescent="0.25">
      <c r="F1960" s="18"/>
      <c r="G1960" s="17"/>
    </row>
    <row r="1961" spans="6:7" x14ac:dyDescent="0.25">
      <c r="F1961" s="18"/>
      <c r="G1961" s="17"/>
    </row>
    <row r="1962" spans="6:7" x14ac:dyDescent="0.25">
      <c r="F1962" s="18"/>
      <c r="G1962" s="17"/>
    </row>
    <row r="1963" spans="6:7" x14ac:dyDescent="0.25">
      <c r="F1963" s="18"/>
      <c r="G1963" s="17"/>
    </row>
    <row r="1964" spans="6:7" x14ac:dyDescent="0.25">
      <c r="F1964" s="18"/>
      <c r="G1964" s="17"/>
    </row>
    <row r="1965" spans="6:7" x14ac:dyDescent="0.25">
      <c r="F1965" s="18"/>
      <c r="G1965" s="17"/>
    </row>
    <row r="1966" spans="6:7" x14ac:dyDescent="0.25">
      <c r="F1966" s="18"/>
      <c r="G1966" s="17"/>
    </row>
    <row r="1967" spans="6:7" x14ac:dyDescent="0.25">
      <c r="F1967" s="18"/>
      <c r="G1967" s="17"/>
    </row>
    <row r="1968" spans="6:7" x14ac:dyDescent="0.25">
      <c r="F1968" s="18"/>
      <c r="G1968" s="17"/>
    </row>
    <row r="1969" spans="6:7" x14ac:dyDescent="0.25">
      <c r="F1969" s="18"/>
      <c r="G1969" s="17"/>
    </row>
    <row r="1970" spans="6:7" x14ac:dyDescent="0.25">
      <c r="F1970" s="18"/>
      <c r="G1970" s="17"/>
    </row>
    <row r="1971" spans="6:7" x14ac:dyDescent="0.25">
      <c r="F1971" s="18"/>
      <c r="G1971" s="17"/>
    </row>
    <row r="1972" spans="6:7" x14ac:dyDescent="0.25">
      <c r="F1972" s="18"/>
      <c r="G1972" s="17"/>
    </row>
    <row r="1973" spans="6:7" x14ac:dyDescent="0.25">
      <c r="F1973" s="18"/>
      <c r="G1973" s="17"/>
    </row>
    <row r="1974" spans="6:7" x14ac:dyDescent="0.25">
      <c r="F1974" s="18"/>
      <c r="G1974" s="17"/>
    </row>
    <row r="1975" spans="6:7" x14ac:dyDescent="0.25">
      <c r="F1975" s="18"/>
      <c r="G1975" s="17"/>
    </row>
    <row r="1976" spans="6:7" x14ac:dyDescent="0.25">
      <c r="F1976" s="18"/>
      <c r="G1976" s="17"/>
    </row>
    <row r="1977" spans="6:7" x14ac:dyDescent="0.25">
      <c r="F1977" s="18"/>
      <c r="G1977" s="17"/>
    </row>
    <row r="1978" spans="6:7" x14ac:dyDescent="0.25">
      <c r="F1978" s="18"/>
      <c r="G1978" s="17"/>
    </row>
    <row r="1979" spans="6:7" x14ac:dyDescent="0.25">
      <c r="F1979" s="18"/>
      <c r="G1979" s="17"/>
    </row>
    <row r="1980" spans="6:7" x14ac:dyDescent="0.25">
      <c r="F1980" s="18"/>
      <c r="G1980" s="17"/>
    </row>
    <row r="1981" spans="6:7" x14ac:dyDescent="0.25">
      <c r="F1981" s="18"/>
      <c r="G1981" s="17"/>
    </row>
    <row r="1982" spans="6:7" x14ac:dyDescent="0.25">
      <c r="F1982" s="18"/>
      <c r="G1982" s="17"/>
    </row>
    <row r="1983" spans="6:7" x14ac:dyDescent="0.25">
      <c r="F1983" s="18"/>
      <c r="G1983" s="17"/>
    </row>
    <row r="1984" spans="6:7" x14ac:dyDescent="0.25">
      <c r="F1984" s="18"/>
      <c r="G1984" s="17"/>
    </row>
    <row r="1985" spans="6:7" x14ac:dyDescent="0.25">
      <c r="F1985" s="18"/>
      <c r="G1985" s="17"/>
    </row>
    <row r="1986" spans="6:7" x14ac:dyDescent="0.25">
      <c r="F1986" s="18"/>
      <c r="G1986" s="17"/>
    </row>
    <row r="1987" spans="6:7" x14ac:dyDescent="0.25">
      <c r="F1987" s="18"/>
      <c r="G1987" s="17"/>
    </row>
    <row r="1988" spans="6:7" x14ac:dyDescent="0.25">
      <c r="F1988" s="18"/>
      <c r="G1988" s="17"/>
    </row>
    <row r="1989" spans="6:7" x14ac:dyDescent="0.25">
      <c r="F1989" s="18"/>
      <c r="G1989" s="17"/>
    </row>
    <row r="1990" spans="6:7" x14ac:dyDescent="0.25">
      <c r="F1990" s="18"/>
      <c r="G1990" s="17"/>
    </row>
    <row r="1991" spans="6:7" x14ac:dyDescent="0.25">
      <c r="F1991" s="18"/>
      <c r="G1991" s="17"/>
    </row>
    <row r="1992" spans="6:7" x14ac:dyDescent="0.25">
      <c r="F1992" s="18"/>
      <c r="G1992" s="17"/>
    </row>
    <row r="1993" spans="6:7" x14ac:dyDescent="0.25">
      <c r="F1993" s="18"/>
      <c r="G1993" s="17"/>
    </row>
    <row r="1994" spans="6:7" x14ac:dyDescent="0.25">
      <c r="F1994" s="18"/>
      <c r="G1994" s="17"/>
    </row>
    <row r="1995" spans="6:7" x14ac:dyDescent="0.25">
      <c r="F1995" s="18"/>
      <c r="G1995" s="17"/>
    </row>
    <row r="1996" spans="6:7" x14ac:dyDescent="0.25">
      <c r="F1996" s="18"/>
      <c r="G1996" s="17"/>
    </row>
    <row r="1997" spans="6:7" x14ac:dyDescent="0.25">
      <c r="F1997" s="18"/>
      <c r="G1997" s="17"/>
    </row>
    <row r="1998" spans="6:7" x14ac:dyDescent="0.25">
      <c r="F1998" s="18"/>
      <c r="G1998" s="17"/>
    </row>
    <row r="1999" spans="6:7" x14ac:dyDescent="0.25">
      <c r="F1999" s="18"/>
      <c r="G1999" s="17"/>
    </row>
    <row r="2000" spans="6:7" x14ac:dyDescent="0.25">
      <c r="F2000" s="18"/>
      <c r="G2000" s="17"/>
    </row>
    <row r="2001" spans="6:7" x14ac:dyDescent="0.25">
      <c r="F2001" s="18"/>
      <c r="G2001" s="17"/>
    </row>
    <row r="2002" spans="6:7" x14ac:dyDescent="0.25">
      <c r="F2002" s="18"/>
      <c r="G2002" s="17"/>
    </row>
    <row r="2003" spans="6:7" x14ac:dyDescent="0.25">
      <c r="F2003" s="18"/>
      <c r="G2003" s="17"/>
    </row>
    <row r="2004" spans="6:7" x14ac:dyDescent="0.25">
      <c r="F2004" s="18"/>
      <c r="G2004" s="17"/>
    </row>
    <row r="2005" spans="6:7" x14ac:dyDescent="0.25">
      <c r="F2005" s="18"/>
      <c r="G2005" s="17"/>
    </row>
    <row r="2006" spans="6:7" x14ac:dyDescent="0.25">
      <c r="F2006" s="18"/>
      <c r="G2006" s="17"/>
    </row>
    <row r="2007" spans="6:7" x14ac:dyDescent="0.25">
      <c r="F2007" s="18"/>
      <c r="G2007" s="17"/>
    </row>
    <row r="2008" spans="6:7" x14ac:dyDescent="0.25">
      <c r="F2008" s="18"/>
      <c r="G2008" s="17"/>
    </row>
    <row r="2009" spans="6:7" x14ac:dyDescent="0.25">
      <c r="F2009" s="18"/>
      <c r="G2009" s="17"/>
    </row>
    <row r="2010" spans="6:7" x14ac:dyDescent="0.25">
      <c r="F2010" s="18"/>
      <c r="G2010" s="17"/>
    </row>
    <row r="2011" spans="6:7" x14ac:dyDescent="0.25">
      <c r="F2011" s="18"/>
      <c r="G2011" s="17"/>
    </row>
    <row r="2012" spans="6:7" x14ac:dyDescent="0.25">
      <c r="F2012" s="18"/>
      <c r="G2012" s="17"/>
    </row>
    <row r="2013" spans="6:7" x14ac:dyDescent="0.25">
      <c r="F2013" s="18"/>
      <c r="G2013" s="17"/>
    </row>
    <row r="2014" spans="6:7" x14ac:dyDescent="0.25">
      <c r="F2014" s="18"/>
      <c r="G2014" s="17"/>
    </row>
    <row r="2015" spans="6:7" x14ac:dyDescent="0.25">
      <c r="F2015" s="18"/>
      <c r="G2015" s="17"/>
    </row>
    <row r="2016" spans="6:7" x14ac:dyDescent="0.25">
      <c r="F2016" s="18"/>
      <c r="G2016" s="17"/>
    </row>
    <row r="2017" spans="6:7" x14ac:dyDescent="0.25">
      <c r="F2017" s="18"/>
      <c r="G2017" s="17"/>
    </row>
    <row r="2018" spans="6:7" x14ac:dyDescent="0.25">
      <c r="F2018" s="18"/>
      <c r="G2018" s="17"/>
    </row>
    <row r="2019" spans="6:7" x14ac:dyDescent="0.25">
      <c r="F2019" s="18"/>
      <c r="G2019" s="17"/>
    </row>
    <row r="2020" spans="6:7" x14ac:dyDescent="0.25">
      <c r="F2020" s="18"/>
      <c r="G2020" s="17"/>
    </row>
    <row r="2021" spans="6:7" x14ac:dyDescent="0.25">
      <c r="F2021" s="18"/>
      <c r="G2021" s="17"/>
    </row>
    <row r="2022" spans="6:7" x14ac:dyDescent="0.25">
      <c r="F2022" s="18"/>
      <c r="G2022" s="17"/>
    </row>
    <row r="2023" spans="6:7" x14ac:dyDescent="0.25">
      <c r="F2023" s="18"/>
      <c r="G2023" s="17"/>
    </row>
    <row r="2024" spans="6:7" x14ac:dyDescent="0.25">
      <c r="F2024" s="18"/>
      <c r="G2024" s="17"/>
    </row>
    <row r="2025" spans="6:7" x14ac:dyDescent="0.25">
      <c r="F2025" s="18"/>
      <c r="G2025" s="17"/>
    </row>
    <row r="2026" spans="6:7" x14ac:dyDescent="0.25">
      <c r="F2026" s="18"/>
      <c r="G2026" s="17"/>
    </row>
    <row r="2027" spans="6:7" x14ac:dyDescent="0.25">
      <c r="F2027" s="18"/>
      <c r="G2027" s="17"/>
    </row>
    <row r="2028" spans="6:7" x14ac:dyDescent="0.25">
      <c r="F2028" s="18"/>
      <c r="G2028" s="17"/>
    </row>
    <row r="2029" spans="6:7" x14ac:dyDescent="0.25">
      <c r="F2029" s="18"/>
      <c r="G2029" s="17"/>
    </row>
    <row r="2030" spans="6:7" x14ac:dyDescent="0.25">
      <c r="F2030" s="18"/>
      <c r="G2030" s="17"/>
    </row>
    <row r="2031" spans="6:7" x14ac:dyDescent="0.25">
      <c r="F2031" s="18"/>
      <c r="G2031" s="17"/>
    </row>
    <row r="2032" spans="6:7" x14ac:dyDescent="0.25">
      <c r="F2032" s="18"/>
      <c r="G2032" s="17"/>
    </row>
    <row r="2033" spans="6:7" x14ac:dyDescent="0.25">
      <c r="F2033" s="18"/>
      <c r="G2033" s="17"/>
    </row>
    <row r="2034" spans="6:7" x14ac:dyDescent="0.25">
      <c r="F2034" s="18"/>
      <c r="G2034" s="17"/>
    </row>
    <row r="2035" spans="6:7" x14ac:dyDescent="0.25">
      <c r="F2035" s="18"/>
      <c r="G2035" s="17"/>
    </row>
    <row r="2036" spans="6:7" x14ac:dyDescent="0.25">
      <c r="F2036" s="18"/>
      <c r="G2036" s="17"/>
    </row>
    <row r="2037" spans="6:7" x14ac:dyDescent="0.25">
      <c r="F2037" s="18"/>
      <c r="G2037" s="17"/>
    </row>
    <row r="2038" spans="6:7" x14ac:dyDescent="0.25">
      <c r="F2038" s="18"/>
      <c r="G2038" s="17"/>
    </row>
    <row r="2039" spans="6:7" x14ac:dyDescent="0.25">
      <c r="F2039" s="18"/>
      <c r="G2039" s="17"/>
    </row>
    <row r="2040" spans="6:7" x14ac:dyDescent="0.25">
      <c r="F2040" s="18"/>
      <c r="G2040" s="17"/>
    </row>
    <row r="2041" spans="6:7" x14ac:dyDescent="0.25">
      <c r="F2041" s="18"/>
      <c r="G2041" s="17"/>
    </row>
    <row r="2042" spans="6:7" x14ac:dyDescent="0.25">
      <c r="F2042" s="18"/>
      <c r="G2042" s="17"/>
    </row>
    <row r="2043" spans="6:7" x14ac:dyDescent="0.25">
      <c r="F2043" s="18"/>
      <c r="G2043" s="17"/>
    </row>
    <row r="2044" spans="6:7" x14ac:dyDescent="0.25">
      <c r="F2044" s="18"/>
      <c r="G2044" s="17"/>
    </row>
    <row r="2045" spans="6:7" x14ac:dyDescent="0.25">
      <c r="F2045" s="18"/>
      <c r="G2045" s="17"/>
    </row>
    <row r="2046" spans="6:7" x14ac:dyDescent="0.25">
      <c r="F2046" s="18"/>
      <c r="G2046" s="17"/>
    </row>
    <row r="2047" spans="6:7" x14ac:dyDescent="0.25">
      <c r="F2047" s="18"/>
      <c r="G2047" s="17"/>
    </row>
    <row r="2048" spans="6:7" x14ac:dyDescent="0.25">
      <c r="F2048" s="18"/>
      <c r="G2048" s="17"/>
    </row>
    <row r="2049" spans="6:7" x14ac:dyDescent="0.25">
      <c r="F2049" s="18"/>
      <c r="G2049" s="17"/>
    </row>
    <row r="2050" spans="6:7" x14ac:dyDescent="0.25">
      <c r="F2050" s="18"/>
      <c r="G2050" s="17"/>
    </row>
    <row r="2051" spans="6:7" x14ac:dyDescent="0.25">
      <c r="F2051" s="18"/>
      <c r="G2051" s="17"/>
    </row>
    <row r="2052" spans="6:7" x14ac:dyDescent="0.25">
      <c r="F2052" s="18"/>
      <c r="G2052" s="17"/>
    </row>
    <row r="2053" spans="6:7" x14ac:dyDescent="0.25">
      <c r="F2053" s="18"/>
      <c r="G2053" s="17"/>
    </row>
    <row r="2054" spans="6:7" x14ac:dyDescent="0.25">
      <c r="F2054" s="18"/>
      <c r="G2054" s="17"/>
    </row>
    <row r="2055" spans="6:7" x14ac:dyDescent="0.25">
      <c r="F2055" s="18"/>
      <c r="G2055" s="17"/>
    </row>
    <row r="2056" spans="6:7" x14ac:dyDescent="0.25">
      <c r="F2056" s="18"/>
      <c r="G2056" s="17"/>
    </row>
    <row r="2057" spans="6:7" x14ac:dyDescent="0.25">
      <c r="F2057" s="18"/>
      <c r="G2057" s="17"/>
    </row>
    <row r="2058" spans="6:7" x14ac:dyDescent="0.25">
      <c r="F2058" s="18"/>
      <c r="G2058" s="17"/>
    </row>
    <row r="2059" spans="6:7" x14ac:dyDescent="0.25">
      <c r="F2059" s="18"/>
      <c r="G2059" s="17"/>
    </row>
    <row r="2060" spans="6:7" x14ac:dyDescent="0.25">
      <c r="F2060" s="18"/>
      <c r="G2060" s="17"/>
    </row>
    <row r="2061" spans="6:7" x14ac:dyDescent="0.25">
      <c r="F2061" s="18"/>
      <c r="G2061" s="17"/>
    </row>
    <row r="2062" spans="6:7" x14ac:dyDescent="0.25">
      <c r="F2062" s="18"/>
      <c r="G2062" s="17"/>
    </row>
    <row r="2063" spans="6:7" x14ac:dyDescent="0.25">
      <c r="F2063" s="18"/>
      <c r="G2063" s="17"/>
    </row>
    <row r="2064" spans="6:7" x14ac:dyDescent="0.25">
      <c r="F2064" s="18"/>
      <c r="G2064" s="17"/>
    </row>
    <row r="2065" spans="6:7" x14ac:dyDescent="0.25">
      <c r="F2065" s="18"/>
      <c r="G2065" s="17"/>
    </row>
    <row r="2066" spans="6:7" x14ac:dyDescent="0.25">
      <c r="F2066" s="18"/>
      <c r="G2066" s="17"/>
    </row>
    <row r="2067" spans="6:7" x14ac:dyDescent="0.25">
      <c r="F2067" s="18"/>
      <c r="G2067" s="17"/>
    </row>
    <row r="2068" spans="6:7" x14ac:dyDescent="0.25">
      <c r="F2068" s="18"/>
      <c r="G2068" s="17"/>
    </row>
    <row r="2069" spans="6:7" x14ac:dyDescent="0.25">
      <c r="F2069" s="18"/>
      <c r="G2069" s="17"/>
    </row>
    <row r="2070" spans="6:7" x14ac:dyDescent="0.25">
      <c r="F2070" s="18"/>
      <c r="G2070" s="17"/>
    </row>
    <row r="2071" spans="6:7" x14ac:dyDescent="0.25">
      <c r="F2071" s="18"/>
      <c r="G2071" s="17"/>
    </row>
    <row r="2072" spans="6:7" x14ac:dyDescent="0.25">
      <c r="F2072" s="18"/>
      <c r="G2072" s="17"/>
    </row>
    <row r="2073" spans="6:7" x14ac:dyDescent="0.25">
      <c r="F2073" s="18"/>
      <c r="G2073" s="17"/>
    </row>
    <row r="2074" spans="6:7" x14ac:dyDescent="0.25">
      <c r="F2074" s="18"/>
      <c r="G2074" s="17"/>
    </row>
    <row r="2075" spans="6:7" x14ac:dyDescent="0.25">
      <c r="F2075" s="18"/>
      <c r="G2075" s="17"/>
    </row>
    <row r="2076" spans="6:7" x14ac:dyDescent="0.25">
      <c r="F2076" s="18"/>
      <c r="G2076" s="17"/>
    </row>
    <row r="2077" spans="6:7" x14ac:dyDescent="0.25">
      <c r="F2077" s="18"/>
      <c r="G2077" s="17"/>
    </row>
    <row r="2078" spans="6:7" x14ac:dyDescent="0.25">
      <c r="F2078" s="18"/>
      <c r="G2078" s="17"/>
    </row>
    <row r="2079" spans="6:7" x14ac:dyDescent="0.25">
      <c r="F2079" s="18"/>
      <c r="G2079" s="17"/>
    </row>
    <row r="2080" spans="6:7" x14ac:dyDescent="0.25">
      <c r="F2080" s="18"/>
      <c r="G2080" s="17"/>
    </row>
    <row r="2081" spans="6:7" x14ac:dyDescent="0.25">
      <c r="F2081" s="18"/>
      <c r="G2081" s="17"/>
    </row>
    <row r="2082" spans="6:7" x14ac:dyDescent="0.25">
      <c r="F2082" s="18"/>
      <c r="G2082" s="17"/>
    </row>
    <row r="2083" spans="6:7" x14ac:dyDescent="0.25">
      <c r="F2083" s="18"/>
      <c r="G2083" s="17"/>
    </row>
    <row r="2084" spans="6:7" x14ac:dyDescent="0.25">
      <c r="F2084" s="18"/>
      <c r="G2084" s="17"/>
    </row>
    <row r="2085" spans="6:7" x14ac:dyDescent="0.25">
      <c r="F2085" s="18"/>
      <c r="G2085" s="17"/>
    </row>
    <row r="2086" spans="6:7" x14ac:dyDescent="0.25">
      <c r="F2086" s="18"/>
      <c r="G2086" s="17"/>
    </row>
    <row r="2087" spans="6:7" x14ac:dyDescent="0.25">
      <c r="F2087" s="18"/>
      <c r="G2087" s="17"/>
    </row>
    <row r="2088" spans="6:7" x14ac:dyDescent="0.25">
      <c r="F2088" s="18"/>
      <c r="G2088" s="17"/>
    </row>
    <row r="2089" spans="6:7" x14ac:dyDescent="0.25">
      <c r="F2089" s="18"/>
      <c r="G2089" s="17"/>
    </row>
    <row r="2090" spans="6:7" x14ac:dyDescent="0.25">
      <c r="F2090" s="18"/>
      <c r="G2090" s="17"/>
    </row>
    <row r="2091" spans="6:7" x14ac:dyDescent="0.25">
      <c r="F2091" s="18"/>
      <c r="G2091" s="17"/>
    </row>
    <row r="2092" spans="6:7" x14ac:dyDescent="0.25">
      <c r="F2092" s="18"/>
      <c r="G2092" s="17"/>
    </row>
    <row r="2093" spans="6:7" x14ac:dyDescent="0.25">
      <c r="F2093" s="18"/>
      <c r="G2093" s="17"/>
    </row>
    <row r="2094" spans="6:7" x14ac:dyDescent="0.25">
      <c r="F2094" s="18"/>
      <c r="G2094" s="17"/>
    </row>
    <row r="2095" spans="6:7" x14ac:dyDescent="0.25">
      <c r="F2095" s="18"/>
      <c r="G2095" s="17"/>
    </row>
    <row r="2096" spans="6:7" x14ac:dyDescent="0.25">
      <c r="F2096" s="18"/>
      <c r="G2096" s="17"/>
    </row>
    <row r="2097" spans="6:7" x14ac:dyDescent="0.25">
      <c r="F2097" s="18"/>
      <c r="G2097" s="17"/>
    </row>
    <row r="2098" spans="6:7" x14ac:dyDescent="0.25">
      <c r="F2098" s="18"/>
      <c r="G2098" s="17"/>
    </row>
    <row r="2099" spans="6:7" x14ac:dyDescent="0.25">
      <c r="F2099" s="18"/>
      <c r="G2099" s="17"/>
    </row>
    <row r="2100" spans="6:7" x14ac:dyDescent="0.25">
      <c r="F2100" s="18"/>
      <c r="G2100" s="17"/>
    </row>
    <row r="2101" spans="6:7" x14ac:dyDescent="0.25">
      <c r="F2101" s="18"/>
      <c r="G2101" s="17"/>
    </row>
    <row r="2102" spans="6:7" x14ac:dyDescent="0.25">
      <c r="F2102" s="18"/>
      <c r="G2102" s="17"/>
    </row>
    <row r="2103" spans="6:7" x14ac:dyDescent="0.25">
      <c r="F2103" s="18"/>
      <c r="G2103" s="17"/>
    </row>
    <row r="2104" spans="6:7" x14ac:dyDescent="0.25">
      <c r="F2104" s="18"/>
      <c r="G2104" s="17"/>
    </row>
    <row r="2105" spans="6:7" x14ac:dyDescent="0.25">
      <c r="F2105" s="18"/>
      <c r="G2105" s="17"/>
    </row>
    <row r="2106" spans="6:7" x14ac:dyDescent="0.25">
      <c r="F2106" s="18"/>
      <c r="G2106" s="17"/>
    </row>
    <row r="2107" spans="6:7" x14ac:dyDescent="0.25">
      <c r="F2107" s="18"/>
      <c r="G2107" s="17"/>
    </row>
    <row r="2108" spans="6:7" x14ac:dyDescent="0.25">
      <c r="F2108" s="18"/>
      <c r="G2108" s="17"/>
    </row>
    <row r="2109" spans="6:7" x14ac:dyDescent="0.25">
      <c r="F2109" s="18"/>
      <c r="G2109" s="17"/>
    </row>
    <row r="2110" spans="6:7" x14ac:dyDescent="0.25">
      <c r="F2110" s="18"/>
      <c r="G2110" s="17"/>
    </row>
    <row r="2111" spans="6:7" x14ac:dyDescent="0.25">
      <c r="F2111" s="18"/>
      <c r="G2111" s="17"/>
    </row>
    <row r="2112" spans="6:7" x14ac:dyDescent="0.25">
      <c r="F2112" s="18"/>
      <c r="G2112" s="17"/>
    </row>
    <row r="2113" spans="6:7" x14ac:dyDescent="0.25">
      <c r="F2113" s="18"/>
      <c r="G2113" s="17"/>
    </row>
    <row r="2114" spans="6:7" x14ac:dyDescent="0.25">
      <c r="F2114" s="18"/>
      <c r="G2114" s="17"/>
    </row>
    <row r="2115" spans="6:7" x14ac:dyDescent="0.25">
      <c r="F2115" s="18"/>
      <c r="G2115" s="17"/>
    </row>
    <row r="2116" spans="6:7" x14ac:dyDescent="0.25">
      <c r="F2116" s="18"/>
      <c r="G2116" s="17"/>
    </row>
    <row r="2117" spans="6:7" x14ac:dyDescent="0.25">
      <c r="F2117" s="18"/>
      <c r="G2117" s="17"/>
    </row>
    <row r="2118" spans="6:7" x14ac:dyDescent="0.25">
      <c r="F2118" s="18"/>
      <c r="G2118" s="17"/>
    </row>
    <row r="2119" spans="6:7" x14ac:dyDescent="0.25">
      <c r="F2119" s="18"/>
      <c r="G2119" s="17"/>
    </row>
    <row r="2120" spans="6:7" x14ac:dyDescent="0.25">
      <c r="F2120" s="18"/>
      <c r="G2120" s="17"/>
    </row>
    <row r="2121" spans="6:7" x14ac:dyDescent="0.25">
      <c r="F2121" s="18"/>
      <c r="G2121" s="17"/>
    </row>
    <row r="2122" spans="6:7" x14ac:dyDescent="0.25">
      <c r="F2122" s="18"/>
      <c r="G2122" s="17"/>
    </row>
    <row r="2123" spans="6:7" x14ac:dyDescent="0.25">
      <c r="F2123" s="18"/>
      <c r="G2123" s="17"/>
    </row>
    <row r="2124" spans="6:7" x14ac:dyDescent="0.25">
      <c r="F2124" s="18"/>
      <c r="G2124" s="17"/>
    </row>
    <row r="2125" spans="6:7" x14ac:dyDescent="0.25">
      <c r="F2125" s="18"/>
      <c r="G2125" s="17"/>
    </row>
    <row r="2126" spans="6:7" x14ac:dyDescent="0.25">
      <c r="F2126" s="18"/>
      <c r="G2126" s="17"/>
    </row>
    <row r="2127" spans="6:7" x14ac:dyDescent="0.25">
      <c r="F2127" s="18"/>
      <c r="G2127" s="17"/>
    </row>
    <row r="2128" spans="6:7" x14ac:dyDescent="0.25">
      <c r="F2128" s="18"/>
      <c r="G2128" s="17"/>
    </row>
    <row r="2129" spans="6:7" x14ac:dyDescent="0.25">
      <c r="F2129" s="18"/>
      <c r="G2129" s="17"/>
    </row>
    <row r="2130" spans="6:7" x14ac:dyDescent="0.25">
      <c r="F2130" s="18"/>
      <c r="G2130" s="17"/>
    </row>
    <row r="2131" spans="6:7" x14ac:dyDescent="0.25">
      <c r="F2131" s="18"/>
      <c r="G2131" s="17"/>
    </row>
    <row r="2132" spans="6:7" x14ac:dyDescent="0.25">
      <c r="F2132" s="18"/>
      <c r="G2132" s="17"/>
    </row>
    <row r="2133" spans="6:7" x14ac:dyDescent="0.25">
      <c r="F2133" s="18"/>
      <c r="G2133" s="17"/>
    </row>
    <row r="2134" spans="6:7" x14ac:dyDescent="0.25">
      <c r="F2134" s="18"/>
      <c r="G2134" s="17"/>
    </row>
    <row r="2135" spans="6:7" x14ac:dyDescent="0.25">
      <c r="F2135" s="18"/>
      <c r="G2135" s="17"/>
    </row>
    <row r="2136" spans="6:7" x14ac:dyDescent="0.25">
      <c r="F2136" s="18"/>
      <c r="G2136" s="17"/>
    </row>
    <row r="2137" spans="6:7" x14ac:dyDescent="0.25">
      <c r="F2137" s="18"/>
      <c r="G2137" s="17"/>
    </row>
    <row r="2138" spans="6:7" x14ac:dyDescent="0.25">
      <c r="F2138" s="18"/>
      <c r="G2138" s="17"/>
    </row>
    <row r="2139" spans="6:7" x14ac:dyDescent="0.25">
      <c r="F2139" s="18"/>
      <c r="G2139" s="17"/>
    </row>
    <row r="2140" spans="6:7" x14ac:dyDescent="0.25">
      <c r="F2140" s="18"/>
      <c r="G2140" s="17"/>
    </row>
    <row r="2141" spans="6:7" x14ac:dyDescent="0.25">
      <c r="F2141" s="18"/>
      <c r="G2141" s="17"/>
    </row>
    <row r="2142" spans="6:7" x14ac:dyDescent="0.25">
      <c r="F2142" s="18"/>
      <c r="G2142" s="17"/>
    </row>
    <row r="2143" spans="6:7" x14ac:dyDescent="0.25">
      <c r="F2143" s="18"/>
      <c r="G2143" s="17"/>
    </row>
    <row r="2144" spans="6:7" x14ac:dyDescent="0.25">
      <c r="F2144" s="18"/>
      <c r="G2144" s="17"/>
    </row>
    <row r="2145" spans="6:7" x14ac:dyDescent="0.25">
      <c r="F2145" s="18"/>
      <c r="G2145" s="17"/>
    </row>
    <row r="2146" spans="6:7" x14ac:dyDescent="0.25">
      <c r="F2146" s="18"/>
      <c r="G2146" s="17"/>
    </row>
    <row r="2147" spans="6:7" x14ac:dyDescent="0.25">
      <c r="F2147" s="18"/>
      <c r="G2147" s="17"/>
    </row>
    <row r="2148" spans="6:7" x14ac:dyDescent="0.25">
      <c r="F2148" s="18"/>
      <c r="G2148" s="17"/>
    </row>
    <row r="2149" spans="6:7" x14ac:dyDescent="0.25">
      <c r="F2149" s="18"/>
      <c r="G2149" s="17"/>
    </row>
    <row r="2150" spans="6:7" x14ac:dyDescent="0.25">
      <c r="F2150" s="18"/>
      <c r="G2150" s="17"/>
    </row>
    <row r="2151" spans="6:7" x14ac:dyDescent="0.25">
      <c r="F2151" s="18"/>
      <c r="G2151" s="17"/>
    </row>
    <row r="2152" spans="6:7" x14ac:dyDescent="0.25">
      <c r="F2152" s="18"/>
      <c r="G2152" s="17"/>
    </row>
    <row r="2153" spans="6:7" x14ac:dyDescent="0.25">
      <c r="F2153" s="18"/>
      <c r="G2153" s="17"/>
    </row>
    <row r="2154" spans="6:7" x14ac:dyDescent="0.25">
      <c r="F2154" s="18"/>
      <c r="G2154" s="17"/>
    </row>
    <row r="2155" spans="6:7" x14ac:dyDescent="0.25">
      <c r="F2155" s="18"/>
      <c r="G2155" s="17"/>
    </row>
    <row r="2156" spans="6:7" x14ac:dyDescent="0.25">
      <c r="F2156" s="18"/>
      <c r="G2156" s="17"/>
    </row>
    <row r="2157" spans="6:7" x14ac:dyDescent="0.25">
      <c r="F2157" s="18"/>
      <c r="G2157" s="17"/>
    </row>
    <row r="2158" spans="6:7" x14ac:dyDescent="0.25">
      <c r="F2158" s="18"/>
      <c r="G2158" s="17"/>
    </row>
  </sheetData>
  <conditionalFormatting sqref="D1:D1048576">
    <cfRule type="cellIs" dxfId="21" priority="5" operator="equal">
      <formula>"PENDENTE"</formula>
    </cfRule>
    <cfRule type="cellIs" dxfId="20" priority="6" operator="equal">
      <formula>"EM ANDAMENTO"</formula>
    </cfRule>
    <cfRule type="cellIs" dxfId="19" priority="7" operator="equal">
      <formula>"FINALIZADO"</formula>
    </cfRule>
  </conditionalFormatting>
  <conditionalFormatting sqref="E2159:F1048576 E1:E1173">
    <cfRule type="containsText" dxfId="18" priority="2" operator="containsText" text="Não conforme">
      <formula>NOT(ISERROR(SEARCH("Não conforme",E1)))</formula>
    </cfRule>
    <cfRule type="containsText" dxfId="17" priority="3" operator="containsText" text="Conforme">
      <formula>NOT(ISERROR(SEARCH("Conforme",E1)))</formula>
    </cfRule>
  </conditionalFormatting>
  <dataValidations count="2">
    <dataValidation type="list" allowBlank="1" showInputMessage="1" showErrorMessage="1" sqref="F2159:F1048576 E2:E1048576" xr:uid="{00000000-0002-0000-0100-000000000000}">
      <formula1>"Conforme, Não conforme"</formula1>
    </dataValidation>
    <dataValidation type="list" allowBlank="1" showInputMessage="1" showErrorMessage="1" sqref="D2:D1173" xr:uid="{00000000-0002-0000-0100-000001000000}">
      <formula1>"PENDENTE, EM ANDAMENTO, FINALIZADO,PARADO!"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0D7AA5B-61DC-4A0C-9A96-DBD18D2B20A8}">
            <xm:f>NOT(ISERROR(SEARCH("PARADO!",D1)))</xm:f>
            <xm:f>"PARADO!"</xm:f>
            <x14:dxf>
              <font>
                <strike val="0"/>
                <u val="none"/>
                <color auto="1"/>
              </font>
              <numFmt numFmtId="0" formatCode="General"/>
              <fill>
                <patternFill>
                  <bgColor theme="8"/>
                </patternFill>
              </fill>
            </x14:dxf>
          </x14:cfRule>
          <xm:sqref>D1:D1048576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25"/>
  <sheetViews>
    <sheetView showGridLines="0" showRowColHeaders="0" zoomScale="85" zoomScaleNormal="85" workbookViewId="0">
      <selection activeCell="B12" sqref="B12"/>
    </sheetView>
  </sheetViews>
  <sheetFormatPr defaultRowHeight="15" x14ac:dyDescent="0.25"/>
  <cols>
    <col min="1" max="1" width="24.140625" bestFit="1" customWidth="1"/>
    <col min="2" max="2" width="32.85546875" bestFit="1" customWidth="1"/>
    <col min="3" max="11" width="15.140625" bestFit="1" customWidth="1"/>
    <col min="12" max="12" width="10.7109375" bestFit="1" customWidth="1"/>
    <col min="13" max="161" width="10.42578125" bestFit="1" customWidth="1"/>
    <col min="162" max="162" width="10.7109375" bestFit="1" customWidth="1"/>
  </cols>
  <sheetData>
    <row r="1" spans="1:2" ht="15.75" x14ac:dyDescent="0.25">
      <c r="A1" s="5" t="s">
        <v>0</v>
      </c>
      <c r="B1" t="s">
        <v>152</v>
      </c>
    </row>
    <row r="2" spans="1:2" x14ac:dyDescent="0.25">
      <c r="A2" t="s">
        <v>24</v>
      </c>
      <c r="B2" s="10">
        <v>500</v>
      </c>
    </row>
    <row r="3" spans="1:2" x14ac:dyDescent="0.25">
      <c r="A3" t="s">
        <v>6</v>
      </c>
      <c r="B3" s="10">
        <v>500</v>
      </c>
    </row>
    <row r="4" spans="1:2" x14ac:dyDescent="0.25">
      <c r="A4" t="s">
        <v>8</v>
      </c>
      <c r="B4" s="10">
        <v>650</v>
      </c>
    </row>
    <row r="5" spans="1:2" x14ac:dyDescent="0.25">
      <c r="A5" t="s">
        <v>3</v>
      </c>
      <c r="B5" s="10">
        <v>1200</v>
      </c>
    </row>
    <row r="6" spans="1:2" ht="15.75" customHeight="1" x14ac:dyDescent="0.25">
      <c r="A6" t="s">
        <v>10</v>
      </c>
      <c r="B6" s="10">
        <v>1200</v>
      </c>
    </row>
    <row r="7" spans="1:2" x14ac:dyDescent="0.25">
      <c r="A7" t="s">
        <v>22</v>
      </c>
      <c r="B7" s="10">
        <v>1390</v>
      </c>
    </row>
    <row r="8" spans="1:2" x14ac:dyDescent="0.25">
      <c r="A8" t="s">
        <v>94</v>
      </c>
      <c r="B8" s="10">
        <v>1900</v>
      </c>
    </row>
    <row r="9" spans="1:2" x14ac:dyDescent="0.25">
      <c r="A9" t="s">
        <v>17</v>
      </c>
      <c r="B9" s="10">
        <v>2000</v>
      </c>
    </row>
    <row r="10" spans="1:2" x14ac:dyDescent="0.25">
      <c r="A10" t="s">
        <v>12</v>
      </c>
      <c r="B10" s="10">
        <v>2000</v>
      </c>
    </row>
    <row r="11" spans="1:2" x14ac:dyDescent="0.25">
      <c r="A11" t="s">
        <v>20</v>
      </c>
      <c r="B11" s="10">
        <v>3000</v>
      </c>
    </row>
    <row r="12" spans="1:2" x14ac:dyDescent="0.25">
      <c r="A12" t="s">
        <v>27</v>
      </c>
      <c r="B12" s="10">
        <v>4200</v>
      </c>
    </row>
    <row r="13" spans="1:2" x14ac:dyDescent="0.25">
      <c r="A13" t="s">
        <v>23</v>
      </c>
      <c r="B13" s="10">
        <v>8750</v>
      </c>
    </row>
    <row r="14" spans="1:2" x14ac:dyDescent="0.25">
      <c r="A14" t="s">
        <v>29</v>
      </c>
      <c r="B14" s="10">
        <v>9900</v>
      </c>
    </row>
    <row r="15" spans="1:2" x14ac:dyDescent="0.25">
      <c r="A15" t="s">
        <v>31</v>
      </c>
      <c r="B15" s="10">
        <v>10000</v>
      </c>
    </row>
    <row r="16" spans="1:2" x14ac:dyDescent="0.25">
      <c r="A16" t="s">
        <v>19</v>
      </c>
      <c r="B16" s="10">
        <v>11600</v>
      </c>
    </row>
    <row r="17" spans="1:2" x14ac:dyDescent="0.25">
      <c r="A17" t="s">
        <v>30</v>
      </c>
      <c r="B17" s="10">
        <v>17000</v>
      </c>
    </row>
    <row r="18" spans="1:2" x14ac:dyDescent="0.25">
      <c r="A18" t="s">
        <v>111</v>
      </c>
      <c r="B18" s="10">
        <v>17500</v>
      </c>
    </row>
    <row r="19" spans="1:2" x14ac:dyDescent="0.25">
      <c r="A19" t="s">
        <v>32</v>
      </c>
      <c r="B19" s="10">
        <v>23000</v>
      </c>
    </row>
    <row r="20" spans="1:2" x14ac:dyDescent="0.25">
      <c r="A20" t="s">
        <v>21</v>
      </c>
      <c r="B20" s="10">
        <v>25000</v>
      </c>
    </row>
    <row r="21" spans="1:2" x14ac:dyDescent="0.25">
      <c r="A21" t="s">
        <v>34</v>
      </c>
      <c r="B21" s="10">
        <v>30000</v>
      </c>
    </row>
    <row r="22" spans="1:2" x14ac:dyDescent="0.25">
      <c r="A22" t="s">
        <v>33</v>
      </c>
      <c r="B22" s="10">
        <v>41600</v>
      </c>
    </row>
    <row r="23" spans="1:2" ht="15.75" customHeight="1" x14ac:dyDescent="0.25">
      <c r="A23" t="s">
        <v>35</v>
      </c>
      <c r="B23" s="10">
        <v>74100</v>
      </c>
    </row>
    <row r="24" spans="1:2" ht="15.75" x14ac:dyDescent="0.25">
      <c r="A24" s="14" t="s">
        <v>153</v>
      </c>
      <c r="B24" s="10">
        <v>286990</v>
      </c>
    </row>
    <row r="25" spans="1:2" ht="15.75" customHeight="1" x14ac:dyDescent="0.25"/>
  </sheetData>
  <pageMargins left="1.5748031496062991" right="1.5748031496062991" top="3.149606299212599" bottom="0.98425196850393704" header="0.51181102362204722" footer="0.51181102362204722"/>
  <pageSetup paperSize="9" scale="96" orientation="portrait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 filterMode="1"/>
  <dimension ref="A1:D52"/>
  <sheetViews>
    <sheetView showGridLines="0" showRowColHeaders="0" zoomScaleNormal="100" workbookViewId="0">
      <selection activeCell="C12" sqref="C12"/>
    </sheetView>
  </sheetViews>
  <sheetFormatPr defaultRowHeight="15" x14ac:dyDescent="0.25"/>
  <cols>
    <col min="1" max="1" width="28.42578125" bestFit="1" customWidth="1"/>
    <col min="2" max="2" width="23.28515625" customWidth="1"/>
    <col min="3" max="3" width="20.5703125" customWidth="1"/>
    <col min="4" max="4" width="17.28515625" customWidth="1"/>
  </cols>
  <sheetData>
    <row r="1" spans="1:4" ht="15.75" customHeight="1" thickBot="1" x14ac:dyDescent="0.3">
      <c r="A1" s="19" t="s">
        <v>0</v>
      </c>
      <c r="B1" s="7" t="s">
        <v>154</v>
      </c>
      <c r="C1" t="s">
        <v>155</v>
      </c>
      <c r="D1" t="s">
        <v>156</v>
      </c>
    </row>
    <row r="2" spans="1:4" ht="15.75" customHeight="1" thickTop="1" x14ac:dyDescent="0.25">
      <c r="A2" s="20" t="str">
        <f t="array" ref="A2:A52">_xlfn.UNIQUE(tb_Registro_Producao[PRODUTO])</f>
        <v>Avamid-6 18-22(amida 60)</v>
      </c>
      <c r="B2" s="1">
        <f>IFERROR(_xlfn.MINIFS(tb_Registro_Producao[DATA],tb_Registro_Producao[PRODUTO],A2),"")</f>
        <v>45810</v>
      </c>
      <c r="C2" s="11">
        <f>SUMIFS(tb_Registro_Producao[Quantidade_Produzida_kg],tb_Registro_Producao[PRODUTO],A2)</f>
        <v>822395</v>
      </c>
      <c r="D2" s="10">
        <f t="shared" ref="D2:D33" ca="1" si="0">IFERROR(C2/((YEAR(TODAY())-YEAR(B2))*12+MONTH(TODAY())-MONTH(B2)+1),0)</f>
        <v>63261.153846153844</v>
      </c>
    </row>
    <row r="3" spans="1:4" x14ac:dyDescent="0.25">
      <c r="A3" s="21" t="str">
        <v>Detergente neutro</v>
      </c>
      <c r="B3" s="1">
        <f>IFERROR(_xlfn.MINIFS(tb_Registro_Producao[DATA],tb_Registro_Producao[PRODUTO],A3),"")</f>
        <v>45831</v>
      </c>
      <c r="C3" s="11">
        <f>SUMIFS(tb_Registro_Producao[Quantidade_Produzida_kg],tb_Registro_Producao[PRODUTO],A3)</f>
        <v>29500</v>
      </c>
      <c r="D3" s="10">
        <f t="shared" ca="1" si="0"/>
        <v>2269.2307692307691</v>
      </c>
    </row>
    <row r="4" spans="1:4" x14ac:dyDescent="0.25">
      <c r="A4" s="20" t="str">
        <v>Avanbeta-30</v>
      </c>
      <c r="B4" s="1">
        <f>IFERROR(_xlfn.MINIFS(tb_Registro_Producao[DATA],tb_Registro_Producao[PRODUTO],A4),"")</f>
        <v>45832</v>
      </c>
      <c r="C4" s="11">
        <f>SUMIFS(tb_Registro_Producao[Quantidade_Produzida_kg],tb_Registro_Producao[PRODUTO],A4)</f>
        <v>896255</v>
      </c>
      <c r="D4" s="10">
        <f t="shared" ca="1" si="0"/>
        <v>68942.692307692312</v>
      </c>
    </row>
    <row r="5" spans="1:4" x14ac:dyDescent="0.25">
      <c r="A5" s="21" t="str">
        <v>Avanless 27</v>
      </c>
      <c r="B5" s="1">
        <f>IFERROR(_xlfn.MINIFS(tb_Registro_Producao[DATA],tb_Registro_Producao[PRODUTO],A5),"")</f>
        <v>45833</v>
      </c>
      <c r="C5" s="11">
        <f>SUMIFS(tb_Registro_Producao[Quantidade_Produzida_kg],tb_Registro_Producao[PRODUTO],A5)</f>
        <v>700400</v>
      </c>
      <c r="D5" s="10">
        <f t="shared" ca="1" si="0"/>
        <v>53876.923076923078</v>
      </c>
    </row>
    <row r="6" spans="1:4" x14ac:dyDescent="0.25">
      <c r="A6" s="20" t="str">
        <v>Avanclor 80</v>
      </c>
      <c r="B6" s="1">
        <f>IFERROR(_xlfn.MINIFS(tb_Registro_Producao[DATA],tb_Registro_Producao[PRODUTO],A6),"")</f>
        <v>45835</v>
      </c>
      <c r="C6" s="11">
        <f>SUMIFS(tb_Registro_Producao[Quantidade_Produzida_kg],tb_Registro_Producao[PRODUTO],A6)</f>
        <v>296150</v>
      </c>
      <c r="D6" s="10">
        <f t="shared" ca="1" si="0"/>
        <v>22780.76923076923</v>
      </c>
    </row>
    <row r="7" spans="1:4" x14ac:dyDescent="0.25">
      <c r="A7" s="21" t="str">
        <v>Bac 50</v>
      </c>
      <c r="B7" s="1">
        <f>IFERROR(_xlfn.MINIFS(tb_Registro_Producao[DATA],tb_Registro_Producao[PRODUTO],A7),"")</f>
        <v>45835</v>
      </c>
      <c r="C7" s="11">
        <f>SUMIFS(tb_Registro_Producao[Quantidade_Produzida_kg],tb_Registro_Producao[PRODUTO],A7)</f>
        <v>6615</v>
      </c>
      <c r="D7" s="10">
        <f t="shared" ca="1" si="0"/>
        <v>508.84615384615387</v>
      </c>
    </row>
    <row r="8" spans="1:4" x14ac:dyDescent="0.25">
      <c r="A8" s="20" t="str">
        <v>Hidroxido de sodio 50%</v>
      </c>
      <c r="B8" s="1">
        <f>IFERROR(_xlfn.MINIFS(tb_Registro_Producao[DATA],tb_Registro_Producao[PRODUTO],A8),"")</f>
        <v>45835</v>
      </c>
      <c r="C8" s="11">
        <f>SUMIFS(tb_Registro_Producao[Quantidade_Produzida_kg],tb_Registro_Producao[PRODUTO],A8)</f>
        <v>699350</v>
      </c>
      <c r="D8" s="10">
        <f t="shared" ca="1" si="0"/>
        <v>53796.153846153844</v>
      </c>
    </row>
    <row r="9" spans="1:4" x14ac:dyDescent="0.25">
      <c r="A9" s="21" t="str">
        <v>Avamid-6 22-24 (amida 60)</v>
      </c>
      <c r="B9" s="1">
        <f>IFERROR(_xlfn.MINIFS(tb_Registro_Producao[DATA],tb_Registro_Producao[PRODUTO],A9),"")</f>
        <v>45838</v>
      </c>
      <c r="C9" s="11">
        <f>SUMIFS(tb_Registro_Producao[Quantidade_Produzida_kg],tb_Registro_Producao[PRODUTO],A9)</f>
        <v>44840</v>
      </c>
      <c r="D9" s="10">
        <f t="shared" ca="1" si="0"/>
        <v>3449.2307692307691</v>
      </c>
    </row>
    <row r="10" spans="1:4" x14ac:dyDescent="0.25">
      <c r="A10" s="20" t="str">
        <v>Avanpac 18%</v>
      </c>
      <c r="B10" s="1">
        <f>IFERROR(_xlfn.MINIFS(tb_Registro_Producao[DATA],tb_Registro_Producao[PRODUTO],A10),"")</f>
        <v>45838</v>
      </c>
      <c r="C10" s="11">
        <f>SUMIFS(tb_Registro_Producao[Quantidade_Produzida_kg],tb_Registro_Producao[PRODUTO],A10)</f>
        <v>977850</v>
      </c>
      <c r="D10" s="10">
        <f t="shared" ca="1" si="0"/>
        <v>75219.230769230766</v>
      </c>
    </row>
    <row r="11" spans="1:4" x14ac:dyDescent="0.25">
      <c r="A11" s="21" t="str">
        <v>Bac 40</v>
      </c>
      <c r="B11" s="1">
        <f>IFERROR(_xlfn.MINIFS(tb_Registro_Producao[DATA],tb_Registro_Producao[PRODUTO],A11),"")</f>
        <v>45839</v>
      </c>
      <c r="C11" s="11">
        <f>SUMIFS(tb_Registro_Producao[Quantidade_Produzida_kg],tb_Registro_Producao[PRODUTO],A11)</f>
        <v>20800</v>
      </c>
      <c r="D11" s="10">
        <f t="shared" ca="1" si="0"/>
        <v>1733.3333333333333</v>
      </c>
    </row>
    <row r="12" spans="1:4" x14ac:dyDescent="0.25">
      <c r="A12" s="20" t="str">
        <v>Avanil (butil glicol)</v>
      </c>
      <c r="B12" s="1">
        <f>IFERROR(_xlfn.MINIFS(tb_Registro_Producao[DATA],tb_Registro_Producao[PRODUTO],A12),"")</f>
        <v>45841</v>
      </c>
      <c r="C12" s="11">
        <f>SUMIFS(tb_Registro_Producao[Quantidade_Produzida_kg],tb_Registro_Producao[PRODUTO],A12)</f>
        <v>180900</v>
      </c>
      <c r="D12" s="10">
        <f t="shared" ca="1" si="0"/>
        <v>15075</v>
      </c>
    </row>
    <row r="13" spans="1:4" x14ac:dyDescent="0.25">
      <c r="A13" s="21" t="str">
        <v>Acido sulfurico 50%</v>
      </c>
      <c r="B13" s="1">
        <f>IFERROR(_xlfn.MINIFS(tb_Registro_Producao[DATA],tb_Registro_Producao[PRODUTO],A13),"")</f>
        <v>45846</v>
      </c>
      <c r="C13" s="11">
        <f>SUMIFS(tb_Registro_Producao[Quantidade_Produzida_kg],tb_Registro_Producao[PRODUTO],A13)</f>
        <v>3300</v>
      </c>
      <c r="D13" s="10">
        <f t="shared" ca="1" si="0"/>
        <v>275</v>
      </c>
    </row>
    <row r="14" spans="1:4" x14ac:dyDescent="0.25">
      <c r="A14" s="20" t="str">
        <v>Antiespumante</v>
      </c>
      <c r="B14" s="1">
        <f>IFERROR(_xlfn.MINIFS(tb_Registro_Producao[DATA],tb_Registro_Producao[PRODUTO],A14),"")</f>
        <v>45847</v>
      </c>
      <c r="C14" s="11">
        <f>SUMIFS(tb_Registro_Producao[Quantidade_Produzida_kg],tb_Registro_Producao[PRODUTO],A14)</f>
        <v>21900</v>
      </c>
      <c r="D14" s="10">
        <f t="shared" ca="1" si="0"/>
        <v>1825</v>
      </c>
    </row>
    <row r="15" spans="1:4" x14ac:dyDescent="0.25">
      <c r="A15" s="21" t="str">
        <v>Acido sulfurico 65%</v>
      </c>
      <c r="B15" s="1">
        <f>IFERROR(_xlfn.MINIFS(tb_Registro_Producao[DATA],tb_Registro_Producao[PRODUTO],A15),"")</f>
        <v>45848</v>
      </c>
      <c r="C15" s="11">
        <f>SUMIFS(tb_Registro_Producao[Quantidade_Produzida_kg],tb_Registro_Producao[PRODUTO],A15)</f>
        <v>83200</v>
      </c>
      <c r="D15" s="10">
        <f t="shared" ca="1" si="0"/>
        <v>6933.333333333333</v>
      </c>
    </row>
    <row r="16" spans="1:4" x14ac:dyDescent="0.25">
      <c r="A16" s="20" t="str">
        <v>Cln 140</v>
      </c>
      <c r="B16" s="1">
        <f>IFERROR(_xlfn.MINIFS(tb_Registro_Producao[DATA],tb_Registro_Producao[PRODUTO],A16),"")</f>
        <v>45849</v>
      </c>
      <c r="C16" s="11">
        <f>SUMIFS(tb_Registro_Producao[Quantidade_Produzida_kg],tb_Registro_Producao[PRODUTO],A16)</f>
        <v>3600</v>
      </c>
      <c r="D16" s="10">
        <f t="shared" ca="1" si="0"/>
        <v>300</v>
      </c>
    </row>
    <row r="17" spans="1:4" x14ac:dyDescent="0.25">
      <c r="A17" s="21" t="str">
        <v>Avamid-9 (amida 90)</v>
      </c>
      <c r="B17" s="1">
        <f>IFERROR(_xlfn.MINIFS(tb_Registro_Producao[DATA],tb_Registro_Producao[PRODUTO],A17),"")</f>
        <v>45852</v>
      </c>
      <c r="C17" s="11">
        <f>SUMIFS(tb_Registro_Producao[Quantidade_Produzida_kg],tb_Registro_Producao[PRODUTO],A17)</f>
        <v>261350</v>
      </c>
      <c r="D17" s="10">
        <f t="shared" ca="1" si="0"/>
        <v>21779.166666666668</v>
      </c>
    </row>
    <row r="18" spans="1:4" x14ac:dyDescent="0.25">
      <c r="A18" s="20" t="str">
        <v>Avanpac 10%</v>
      </c>
      <c r="B18" s="1">
        <f>IFERROR(_xlfn.MINIFS(tb_Registro_Producao[DATA],tb_Registro_Producao[PRODUTO],A18),"")</f>
        <v>45852</v>
      </c>
      <c r="C18" s="11">
        <f>SUMIFS(tb_Registro_Producao[Quantidade_Produzida_kg],tb_Registro_Producao[PRODUTO],A18)</f>
        <v>30500</v>
      </c>
      <c r="D18" s="10">
        <f t="shared" ca="1" si="0"/>
        <v>2541.6666666666665</v>
      </c>
    </row>
    <row r="19" spans="1:4" x14ac:dyDescent="0.25">
      <c r="A19" s="21" t="str">
        <v>Dietanolamina  85%</v>
      </c>
      <c r="B19" s="1">
        <f>IFERROR(_xlfn.MINIFS(tb_Registro_Producao[DATA],tb_Registro_Producao[PRODUTO],A19),"")</f>
        <v>45855</v>
      </c>
      <c r="C19" s="11">
        <f>SUMIFS(tb_Registro_Producao[Quantidade_Produzida_kg],tb_Registro_Producao[PRODUTO],A19)</f>
        <v>40670</v>
      </c>
      <c r="D19" s="10">
        <f t="shared" ca="1" si="0"/>
        <v>3389.1666666666665</v>
      </c>
    </row>
    <row r="20" spans="1:4" x14ac:dyDescent="0.25">
      <c r="A20" s="20" t="str">
        <v>C 120</v>
      </c>
      <c r="B20" s="1">
        <f>IFERROR(_xlfn.MINIFS(tb_Registro_Producao[DATA],tb_Registro_Producao[PRODUTO],A20),"")</f>
        <v>45863</v>
      </c>
      <c r="C20" s="11">
        <f>SUMIFS(tb_Registro_Producao[Quantidade_Produzida_kg],tb_Registro_Producao[PRODUTO],A20)</f>
        <v>1200</v>
      </c>
      <c r="D20" s="10">
        <f t="shared" ca="1" si="0"/>
        <v>100</v>
      </c>
    </row>
    <row r="21" spans="1:4" x14ac:dyDescent="0.25">
      <c r="A21" s="21" t="str">
        <v>Base de betaina1</v>
      </c>
      <c r="B21" s="1">
        <f>IFERROR(_xlfn.MINIFS(tb_Registro_Producao[DATA],tb_Registro_Producao[PRODUTO],A21),"")</f>
        <v>45863</v>
      </c>
      <c r="C21" s="11">
        <f>SUMIFS(tb_Registro_Producao[Quantidade_Produzida_kg],tb_Registro_Producao[PRODUTO],A21)</f>
        <v>204000</v>
      </c>
      <c r="D21" s="10">
        <f t="shared" ca="1" si="0"/>
        <v>17000</v>
      </c>
    </row>
    <row r="22" spans="1:4" x14ac:dyDescent="0.25">
      <c r="A22" s="20" t="str">
        <v>Hidroxido de sodio 32%</v>
      </c>
      <c r="B22" s="1">
        <f>IFERROR(_xlfn.MINIFS(tb_Registro_Producao[DATA],tb_Registro_Producao[PRODUTO],A22),"")</f>
        <v>45866</v>
      </c>
      <c r="C22" s="11">
        <f>SUMIFS(tb_Registro_Producao[Quantidade_Produzida_kg],tb_Registro_Producao[PRODUTO],A22)</f>
        <v>10000</v>
      </c>
      <c r="D22" s="10">
        <f t="shared" ca="1" si="0"/>
        <v>833.33333333333337</v>
      </c>
    </row>
    <row r="23" spans="1:4" x14ac:dyDescent="0.25">
      <c r="A23" s="21" t="str">
        <v>Less solução</v>
      </c>
      <c r="B23" s="1">
        <f>IFERROR(_xlfn.MINIFS(tb_Registro_Producao[DATA],tb_Registro_Producao[PRODUTO],A23),"")</f>
        <v>45869</v>
      </c>
      <c r="C23" s="11">
        <f>SUMIFS(tb_Registro_Producao[Quantidade_Produzida_kg],tb_Registro_Producao[PRODUTO],A23)</f>
        <v>94550</v>
      </c>
      <c r="D23" s="10">
        <f t="shared" ca="1" si="0"/>
        <v>7879.166666666667</v>
      </c>
    </row>
    <row r="24" spans="1:4" x14ac:dyDescent="0.25">
      <c r="A24" s="20" t="str">
        <v>Acido acetico 75%</v>
      </c>
      <c r="B24" s="1">
        <f>IFERROR(_xlfn.MINIFS(tb_Registro_Producao[DATA],tb_Registro_Producao[PRODUTO],A24),"")</f>
        <v>45870</v>
      </c>
      <c r="C24" s="11">
        <f>SUMIFS(tb_Registro_Producao[Quantidade_Produzida_kg],tb_Registro_Producao[PRODUTO],A24)</f>
        <v>33935</v>
      </c>
      <c r="D24" s="10">
        <f t="shared" ca="1" si="0"/>
        <v>3085</v>
      </c>
    </row>
    <row r="25" spans="1:4" x14ac:dyDescent="0.25">
      <c r="A25" s="21" t="str">
        <v>Peroxido de hidrogenio 35%</v>
      </c>
      <c r="B25" s="1">
        <f>IFERROR(_xlfn.MINIFS(tb_Registro_Producao[DATA],tb_Registro_Producao[PRODUTO],A25),"")</f>
        <v>45873</v>
      </c>
      <c r="C25" s="11">
        <f>SUMIFS(tb_Registro_Producao[Quantidade_Produzida_kg],tb_Registro_Producao[PRODUTO],A25)</f>
        <v>18080</v>
      </c>
      <c r="D25" s="10">
        <f t="shared" ca="1" si="0"/>
        <v>1643.6363636363637</v>
      </c>
    </row>
    <row r="26" spans="1:4" x14ac:dyDescent="0.25">
      <c r="A26" s="20" t="str">
        <v>Hidroxido de potassio solução</v>
      </c>
      <c r="B26" s="1">
        <f>IFERROR(_xlfn.MINIFS(tb_Registro_Producao[DATA],tb_Registro_Producao[PRODUTO],A26),"")</f>
        <v>45873</v>
      </c>
      <c r="C26" s="11">
        <f>SUMIFS(tb_Registro_Producao[Quantidade_Produzida_kg],tb_Registro_Producao[PRODUTO],A26)</f>
        <v>129240</v>
      </c>
      <c r="D26" s="10">
        <f t="shared" ca="1" si="0"/>
        <v>11749.09090909091</v>
      </c>
    </row>
    <row r="27" spans="1:4" x14ac:dyDescent="0.25">
      <c r="A27" s="21" t="str">
        <v>safe</v>
      </c>
      <c r="B27" s="1">
        <f>IFERROR(_xlfn.MINIFS(tb_Registro_Producao[DATA],tb_Registro_Producao[PRODUTO],A27),"")</f>
        <v>45874</v>
      </c>
      <c r="C27" s="11">
        <f>SUMIFS(tb_Registro_Producao[Quantidade_Produzida_kg],tb_Registro_Producao[PRODUTO],A27)</f>
        <v>168300</v>
      </c>
      <c r="D27" s="10">
        <f t="shared" ca="1" si="0"/>
        <v>15300</v>
      </c>
    </row>
    <row r="28" spans="1:4" x14ac:dyDescent="0.25">
      <c r="A28" s="20" t="str">
        <v>sabão industrial</v>
      </c>
      <c r="B28" s="1">
        <f>IFERROR(_xlfn.MINIFS(tb_Registro_Producao[DATA],tb_Registro_Producao[PRODUTO],A28),"")</f>
        <v>45874</v>
      </c>
      <c r="C28" s="11">
        <f>SUMIFS(tb_Registro_Producao[Quantidade_Produzida_kg],tb_Registro_Producao[PRODUTO],A28)</f>
        <v>4000</v>
      </c>
      <c r="D28" s="10">
        <f t="shared" ca="1" si="0"/>
        <v>363.63636363636363</v>
      </c>
    </row>
    <row r="29" spans="1:4" x14ac:dyDescent="0.25">
      <c r="A29" s="21" t="str">
        <v>Peracetico 10%</v>
      </c>
      <c r="B29" s="1">
        <f>IFERROR(_xlfn.MINIFS(tb_Registro_Producao[DATA],tb_Registro_Producao[PRODUTO],A29),"")</f>
        <v>45877</v>
      </c>
      <c r="C29" s="11">
        <f>SUMIFS(tb_Registro_Producao[Quantidade_Produzida_kg],tb_Registro_Producao[PRODUTO],A29)</f>
        <v>7880</v>
      </c>
      <c r="D29" s="10">
        <f t="shared" ca="1" si="0"/>
        <v>716.36363636363637</v>
      </c>
    </row>
    <row r="30" spans="1:4" x14ac:dyDescent="0.25">
      <c r="A30" s="20" t="str">
        <v>pac reduzido</v>
      </c>
      <c r="B30" s="1">
        <f>IFERROR(_xlfn.MINIFS(tb_Registro_Producao[DATA],tb_Registro_Producao[PRODUTO],A30),"")</f>
        <v>45882</v>
      </c>
      <c r="C30" s="11">
        <f>SUMIFS(tb_Registro_Producao[Quantidade_Produzida_kg],tb_Registro_Producao[PRODUTO],A30)</f>
        <v>3820</v>
      </c>
      <c r="D30" s="10">
        <f t="shared" ca="1" si="0"/>
        <v>347.27272727272725</v>
      </c>
    </row>
    <row r="31" spans="1:4" x14ac:dyDescent="0.25">
      <c r="A31" s="21" t="str">
        <v>redutor de ph</v>
      </c>
      <c r="B31" s="1">
        <f>IFERROR(_xlfn.MINIFS(tb_Registro_Producao[DATA],tb_Registro_Producao[PRODUTO],A31),"")</f>
        <v>45891</v>
      </c>
      <c r="C31" s="11">
        <f>SUMIFS(tb_Registro_Producao[Quantidade_Produzida_kg],tb_Registro_Producao[PRODUTO],A31)</f>
        <v>2000</v>
      </c>
      <c r="D31" s="10">
        <f t="shared" ca="1" si="0"/>
        <v>181.81818181818181</v>
      </c>
    </row>
    <row r="32" spans="1:4" x14ac:dyDescent="0.25">
      <c r="A32" s="20" t="str">
        <v>alcool 96</v>
      </c>
      <c r="B32" s="1">
        <f>IFERROR(_xlfn.MINIFS(tb_Registro_Producao[DATA],tb_Registro_Producao[PRODUTO],A32),"")</f>
        <v>45915</v>
      </c>
      <c r="C32" s="11">
        <f>SUMIFS(tb_Registro_Producao[Quantidade_Produzida_kg],tb_Registro_Producao[PRODUTO],A32)</f>
        <v>51100</v>
      </c>
      <c r="D32" s="10">
        <f t="shared" ca="1" si="0"/>
        <v>5110</v>
      </c>
    </row>
    <row r="33" spans="1:4" x14ac:dyDescent="0.25">
      <c r="A33" s="21" t="str">
        <v>avanfloc 18</v>
      </c>
      <c r="B33" s="1">
        <f>IFERROR(_xlfn.MINIFS(tb_Registro_Producao[DATA],tb_Registro_Producao[PRODUTO],A33),"")</f>
        <v>45917</v>
      </c>
      <c r="C33" s="11">
        <f>SUMIFS(tb_Registro_Producao[Quantidade_Produzida_kg],tb_Registro_Producao[PRODUTO],A33)</f>
        <v>360</v>
      </c>
      <c r="D33" s="10">
        <f t="shared" ca="1" si="0"/>
        <v>36</v>
      </c>
    </row>
    <row r="34" spans="1:4" x14ac:dyDescent="0.25">
      <c r="A34" s="20" t="str">
        <v>acido fluossilicico</v>
      </c>
      <c r="B34" s="1">
        <f>IFERROR(_xlfn.MINIFS(tb_Registro_Producao[DATA],tb_Registro_Producao[PRODUTO],A34),"")</f>
        <v>45917</v>
      </c>
      <c r="C34" s="11">
        <f>SUMIFS(tb_Registro_Producao[Quantidade_Produzida_kg],tb_Registro_Producao[PRODUTO],A34)</f>
        <v>8600</v>
      </c>
      <c r="D34" s="10">
        <f t="shared" ref="D34:D52" ca="1" si="1">IFERROR(C34/((YEAR(TODAY())-YEAR(B34))*12+MONTH(TODAY())-MONTH(B34)+1),0)</f>
        <v>860</v>
      </c>
    </row>
    <row r="35" spans="1:4" x14ac:dyDescent="0.25">
      <c r="A35" s="21" t="str">
        <v>Antiespumante silicone</v>
      </c>
      <c r="B35" s="1">
        <f>IFERROR(_xlfn.MINIFS(tb_Registro_Producao[DATA],tb_Registro_Producao[PRODUTO],A35),"")</f>
        <v>45919</v>
      </c>
      <c r="C35" s="11">
        <f>SUMIFS(tb_Registro_Producao[Quantidade_Produzida_kg],tb_Registro_Producao[PRODUTO],A35)</f>
        <v>6000</v>
      </c>
      <c r="D35" s="10">
        <f t="shared" ca="1" si="1"/>
        <v>600</v>
      </c>
    </row>
    <row r="36" spans="1:4" x14ac:dyDescent="0.25">
      <c r="A36" s="20" t="str">
        <v>acido peracetico 5%</v>
      </c>
      <c r="B36" s="1">
        <f>IFERROR(_xlfn.MINIFS(tb_Registro_Producao[DATA],tb_Registro_Producao[PRODUTO],A36),"")</f>
        <v>45922</v>
      </c>
      <c r="C36" s="11">
        <f>SUMIFS(tb_Registro_Producao[Quantidade_Produzida_kg],tb_Registro_Producao[PRODUTO],A36)</f>
        <v>7000</v>
      </c>
      <c r="D36" s="10">
        <f t="shared" ca="1" si="1"/>
        <v>700</v>
      </c>
    </row>
    <row r="37" spans="1:4" x14ac:dyDescent="0.25">
      <c r="A37" s="21" t="str">
        <v>acido citrico</v>
      </c>
      <c r="B37" s="1">
        <f>IFERROR(_xlfn.MINIFS(tb_Registro_Producao[DATA],tb_Registro_Producao[PRODUTO],A37),"")</f>
        <v>45931</v>
      </c>
      <c r="C37" s="11">
        <f>SUMIFS(tb_Registro_Producao[Quantidade_Produzida_kg],tb_Registro_Producao[PRODUTO],A37)</f>
        <v>17500</v>
      </c>
      <c r="D37" s="10">
        <f t="shared" ca="1" si="1"/>
        <v>1944.4444444444443</v>
      </c>
    </row>
    <row r="38" spans="1:4" x14ac:dyDescent="0.25">
      <c r="A38" s="20" t="str">
        <v>clorito 31%</v>
      </c>
      <c r="B38" s="1">
        <f>IFERROR(_xlfn.MINIFS(tb_Registro_Producao[DATA],tb_Registro_Producao[PRODUTO],A38),"")</f>
        <v>45938</v>
      </c>
      <c r="C38" s="11">
        <f>SUMIFS(tb_Registro_Producao[Quantidade_Produzida_kg],tb_Registro_Producao[PRODUTO],A38)</f>
        <v>28750</v>
      </c>
      <c r="D38" s="10">
        <f t="shared" ca="1" si="1"/>
        <v>3194.4444444444443</v>
      </c>
    </row>
    <row r="39" spans="1:4" x14ac:dyDescent="0.25">
      <c r="A39" s="21" t="str">
        <v>rcn</v>
      </c>
      <c r="B39" s="1">
        <f>IFERROR(_xlfn.MINIFS(tb_Registro_Producao[DATA],tb_Registro_Producao[PRODUTO],A39),"")</f>
        <v>45939</v>
      </c>
      <c r="C39" s="11">
        <f>SUMIFS(tb_Registro_Producao[Quantidade_Produzida_kg],tb_Registro_Producao[PRODUTO],A39)</f>
        <v>23195</v>
      </c>
      <c r="D39" s="10">
        <f t="shared" ca="1" si="1"/>
        <v>2577.2222222222222</v>
      </c>
    </row>
    <row r="40" spans="1:4" x14ac:dyDescent="0.25">
      <c r="A40" s="20" t="str">
        <v>brancol 30%</v>
      </c>
      <c r="B40" s="1">
        <f>IFERROR(_xlfn.MINIFS(tb_Registro_Producao[DATA],tb_Registro_Producao[PRODUTO],A40),"")</f>
        <v>45944</v>
      </c>
      <c r="C40" s="11">
        <f>SUMIFS(tb_Registro_Producao[Quantidade_Produzida_kg],tb_Registro_Producao[PRODUTO],A40)</f>
        <v>2920</v>
      </c>
      <c r="D40" s="10">
        <f t="shared" ca="1" si="1"/>
        <v>324.44444444444446</v>
      </c>
    </row>
    <row r="41" spans="1:4" x14ac:dyDescent="0.25">
      <c r="A41" s="21" t="str">
        <v>avancolor 500</v>
      </c>
      <c r="B41" s="1">
        <f>IFERROR(_xlfn.MINIFS(tb_Registro_Producao[DATA],tb_Registro_Producao[PRODUTO],A41),"")</f>
        <v>45947</v>
      </c>
      <c r="C41" s="11">
        <f>SUMIFS(tb_Registro_Producao[Quantidade_Produzida_kg],tb_Registro_Producao[PRODUTO],A41)</f>
        <v>15100</v>
      </c>
      <c r="D41" s="10">
        <f t="shared" ca="1" si="1"/>
        <v>1677.7777777777778</v>
      </c>
    </row>
    <row r="42" spans="1:4" x14ac:dyDescent="0.25">
      <c r="A42" s="20" t="str">
        <v>detergente clorado</v>
      </c>
      <c r="B42" s="1">
        <f>IFERROR(_xlfn.MINIFS(tb_Registro_Producao[DATA],tb_Registro_Producao[PRODUTO],A42),"")</f>
        <v>45974</v>
      </c>
      <c r="C42" s="11">
        <f>SUMIFS(tb_Registro_Producao[Quantidade_Produzida_kg],tb_Registro_Producao[PRODUTO],A42)</f>
        <v>9000</v>
      </c>
      <c r="D42" s="10">
        <f t="shared" ca="1" si="1"/>
        <v>1125</v>
      </c>
    </row>
    <row r="43" spans="1:4" x14ac:dyDescent="0.25">
      <c r="A43" s="21" t="str">
        <v>acido cloridrico 22%</v>
      </c>
      <c r="B43" s="1">
        <f>IFERROR(_xlfn.MINIFS(tb_Registro_Producao[DATA],tb_Registro_Producao[PRODUTO],A43),"")</f>
        <v>45978</v>
      </c>
      <c r="C43" s="11">
        <f>SUMIFS(tb_Registro_Producao[Quantidade_Produzida_kg],tb_Registro_Producao[PRODUTO],A43)</f>
        <v>82500</v>
      </c>
      <c r="D43" s="10">
        <f t="shared" ca="1" si="1"/>
        <v>10312.5</v>
      </c>
    </row>
    <row r="44" spans="1:4" x14ac:dyDescent="0.25">
      <c r="A44" s="20" t="str">
        <v>solupan</v>
      </c>
      <c r="B44" s="1">
        <f>IFERROR(_xlfn.MINIFS(tb_Registro_Producao[DATA],tb_Registro_Producao[PRODUTO],A44),"")</f>
        <v>46001</v>
      </c>
      <c r="C44" s="11">
        <f>SUMIFS(tb_Registro_Producao[Quantidade_Produzida_kg],tb_Registro_Producao[PRODUTO],A44)</f>
        <v>1000</v>
      </c>
      <c r="D44" s="10">
        <f t="shared" ca="1" si="1"/>
        <v>142.85714285714286</v>
      </c>
    </row>
    <row r="45" spans="1:4" x14ac:dyDescent="0.25">
      <c r="A45" s="21" t="str">
        <v>acido peracetico 15%</v>
      </c>
      <c r="B45" s="1">
        <f>IFERROR(_xlfn.MINIFS(tb_Registro_Producao[DATA],tb_Registro_Producao[PRODUTO],A45),"")</f>
        <v>46006</v>
      </c>
      <c r="C45" s="11">
        <f>SUMIFS(tb_Registro_Producao[Quantidade_Produzida_kg],tb_Registro_Producao[PRODUTO],A45)</f>
        <v>60540</v>
      </c>
      <c r="D45" s="10">
        <f t="shared" ca="1" si="1"/>
        <v>8648.5714285714294</v>
      </c>
    </row>
    <row r="46" spans="1:4" x14ac:dyDescent="0.25">
      <c r="A46" s="20" t="str">
        <v>LPB</v>
      </c>
      <c r="B46" s="1">
        <f>IFERROR(_xlfn.MINIFS(tb_Registro_Producao[DATA],tb_Registro_Producao[PRODUTO],A46),"")</f>
        <v>46010</v>
      </c>
      <c r="C46" s="11">
        <f>SUMIFS(tb_Registro_Producao[Quantidade_Produzida_kg],tb_Registro_Producao[PRODUTO],A46)</f>
        <v>1400</v>
      </c>
      <c r="D46" s="10">
        <f t="shared" ca="1" si="1"/>
        <v>200</v>
      </c>
    </row>
    <row r="47" spans="1:4" x14ac:dyDescent="0.25">
      <c r="A47" s="21" t="str">
        <v>acido sulfurico 40%</v>
      </c>
      <c r="B47" s="1">
        <f>IFERROR(_xlfn.MINIFS(tb_Registro_Producao[DATA],tb_Registro_Producao[PRODUTO],A47),"")</f>
        <v>46031</v>
      </c>
      <c r="C47" s="11">
        <f>SUMIFS(tb_Registro_Producao[Quantidade_Produzida_kg],tb_Registro_Producao[PRODUTO],A47)</f>
        <v>4030</v>
      </c>
      <c r="D47" s="10">
        <f t="shared" ca="1" si="1"/>
        <v>671.66666666666663</v>
      </c>
    </row>
    <row r="48" spans="1:4" x14ac:dyDescent="0.25">
      <c r="A48" s="20" t="str">
        <v>avanfloc 300P</v>
      </c>
      <c r="B48" s="1">
        <f>IFERROR(_xlfn.MINIFS(tb_Registro_Producao[DATA],tb_Registro_Producao[PRODUTO],A48),"")</f>
        <v>46045</v>
      </c>
      <c r="C48" s="11">
        <f>SUMIFS(tb_Registro_Producao[Quantidade_Produzida_kg],tb_Registro_Producao[PRODUTO],A48)</f>
        <v>43750</v>
      </c>
      <c r="D48" s="10">
        <f t="shared" ca="1" si="1"/>
        <v>7291.666666666667</v>
      </c>
    </row>
    <row r="49" spans="1:4" x14ac:dyDescent="0.25">
      <c r="A49" s="21" t="str">
        <v>acido acetico 70%</v>
      </c>
      <c r="B49" s="1">
        <f>IFERROR(_xlfn.MINIFS(tb_Registro_Producao[DATA],tb_Registro_Producao[PRODUTO],A49),"")</f>
        <v>46052</v>
      </c>
      <c r="C49" s="11">
        <f>SUMIFS(tb_Registro_Producao[Quantidade_Produzida_kg],tb_Registro_Producao[PRODUTO],A49)</f>
        <v>11800</v>
      </c>
      <c r="D49" s="10">
        <f t="shared" ca="1" si="1"/>
        <v>1966.6666666666667</v>
      </c>
    </row>
    <row r="50" spans="1:4" x14ac:dyDescent="0.25">
      <c r="A50" s="20" t="str">
        <v>clorito solução</v>
      </c>
      <c r="B50" s="1">
        <f>IFERROR(_xlfn.MINIFS(tb_Registro_Producao[DATA],tb_Registro_Producao[PRODUTO],A50),"")</f>
        <v>46087</v>
      </c>
      <c r="C50" s="11">
        <f>SUMIFS(tb_Registro_Producao[Quantidade_Produzida_kg],tb_Registro_Producao[PRODUTO],A50)</f>
        <v>2200</v>
      </c>
      <c r="D50" s="10">
        <f t="shared" ca="1" si="1"/>
        <v>550</v>
      </c>
    </row>
    <row r="51" spans="1:4" x14ac:dyDescent="0.25">
      <c r="A51" s="21" t="str">
        <v>Hidroxido de sodio 25%</v>
      </c>
      <c r="B51" s="1">
        <f>IFERROR(_xlfn.MINIFS(tb_Registro_Producao[DATA],tb_Registro_Producao[PRODUTO],A51),"")</f>
        <v>46091</v>
      </c>
      <c r="C51" s="11">
        <f>SUMIFS(tb_Registro_Producao[Quantidade_Produzida_kg],tb_Registro_Producao[PRODUTO],A51)</f>
        <v>55000</v>
      </c>
      <c r="D51" s="10">
        <f t="shared" ca="1" si="1"/>
        <v>13750</v>
      </c>
    </row>
    <row r="52" spans="1:4" x14ac:dyDescent="0.25">
      <c r="A52" s="22" t="str">
        <v>hidroxido de sodio 30%</v>
      </c>
      <c r="B52" s="1">
        <f>IFERROR(_xlfn.MINIFS(tb_Registro_Producao[DATA],tb_Registro_Producao[PRODUTO],A52),"")</f>
        <v>46153</v>
      </c>
      <c r="C52" s="11">
        <f>SUMIFS(tb_Registro_Producao[Quantidade_Produzida_kg],tb_Registro_Producao[PRODUTO],A52)</f>
        <v>16800</v>
      </c>
      <c r="D52" s="10">
        <f t="shared" ca="1" si="1"/>
        <v>8400</v>
      </c>
    </row>
  </sheetData>
  <autoFilter ref="A1:A52" xr:uid="{00000000-0009-0000-0000-000003000000}">
    <filterColumn colId="0">
      <filters>
        <filter val="acido acetico 70%"/>
        <filter val="Acido acetico 75%"/>
        <filter val="acido citrico"/>
        <filter val="acido cloridrico 22%"/>
        <filter val="acido fluossilicico"/>
        <filter val="acido peracetico 15%"/>
        <filter val="acido peracetico 5%"/>
        <filter val="acido sulfurico 40%"/>
        <filter val="Acido sulfurico 50%"/>
        <filter val="Acido sulfurico 65%"/>
        <filter val="alcool 96"/>
        <filter val="Antiespumante"/>
        <filter val="Antiespumante silicone"/>
        <filter val="Avamid-6 18-22(amida 60)"/>
        <filter val="Avamid-6 22-24 (amida 60)"/>
        <filter val="Avamid-9 (amida 90)"/>
        <filter val="Avanbeta-30"/>
        <filter val="Avanclor 80"/>
        <filter val="avancolor 500"/>
        <filter val="avanfloc 18"/>
        <filter val="avanfloc 300P"/>
        <filter val="Avanil (butil glicol)"/>
        <filter val="Avanless 27"/>
        <filter val="Bac 40"/>
        <filter val="Bac 50"/>
        <filter val="Base de betaina1"/>
        <filter val="brancol 30%"/>
        <filter val="C 120"/>
        <filter val="Cln 140"/>
        <filter val="clorito 31%"/>
        <filter val="clorito solução"/>
        <filter val="detergente clorado"/>
        <filter val="Detergente neutro"/>
        <filter val="Dietanolamina  85%"/>
        <filter val="Hidroxido de potassio solução"/>
        <filter val="Hidroxido de sodio 25%"/>
        <filter val="hidroxido de sodio 30%"/>
        <filter val="Hidroxido de sodio 32%"/>
        <filter val="Less solução"/>
        <filter val="LPB"/>
        <filter val="pac reduzido"/>
        <filter val="Peracetico 10%"/>
        <filter val="Peroxido de hidrogenio 35%"/>
        <filter val="rcn"/>
        <filter val="redutor de ph"/>
        <filter val="sabão industrial"/>
        <filter val="safe"/>
        <filter val="solupan"/>
      </filters>
    </filterColumn>
  </autoFilter>
  <conditionalFormatting sqref="D2:D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AH115"/>
  <sheetViews>
    <sheetView showGridLines="0" topLeftCell="A72" zoomScaleNormal="100" workbookViewId="0">
      <selection activeCell="E110" sqref="E110"/>
    </sheetView>
  </sheetViews>
  <sheetFormatPr defaultRowHeight="15" x14ac:dyDescent="0.25"/>
  <cols>
    <col min="1" max="1" width="32" customWidth="1"/>
    <col min="2" max="4" width="12" customWidth="1"/>
    <col min="5" max="5" width="19" bestFit="1" customWidth="1"/>
    <col min="6" max="8" width="12" customWidth="1"/>
    <col min="9" max="9" width="14" customWidth="1"/>
    <col min="10" max="24" width="12" customWidth="1"/>
    <col min="25" max="33" width="14" customWidth="1"/>
    <col min="34" max="34" width="12" customWidth="1"/>
  </cols>
  <sheetData>
    <row r="1" spans="1:27" ht="35.1" customHeight="1" x14ac:dyDescent="0.25">
      <c r="A1" s="60" t="s">
        <v>166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ht="18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4" spans="1:27" ht="27.95" customHeight="1" x14ac:dyDescent="0.25">
      <c r="A4" s="62" t="s">
        <v>161</v>
      </c>
      <c r="B4" s="61"/>
    </row>
    <row r="5" spans="1:27" ht="24.95" customHeight="1" x14ac:dyDescent="0.25">
      <c r="A5" s="54" t="s">
        <v>0</v>
      </c>
      <c r="B5" s="54" t="s">
        <v>1</v>
      </c>
    </row>
    <row r="6" spans="1:27" ht="18" customHeight="1" x14ac:dyDescent="0.25">
      <c r="A6" s="24" t="s">
        <v>2</v>
      </c>
      <c r="B6" s="25">
        <v>0</v>
      </c>
    </row>
    <row r="7" spans="1:27" ht="18" customHeight="1" x14ac:dyDescent="0.25">
      <c r="A7" s="24" t="s">
        <v>3</v>
      </c>
      <c r="B7" s="25">
        <v>1200</v>
      </c>
    </row>
    <row r="8" spans="1:27" ht="18" customHeight="1" x14ac:dyDescent="0.25">
      <c r="A8" s="24" t="s">
        <v>4</v>
      </c>
      <c r="B8" s="25">
        <v>0</v>
      </c>
    </row>
    <row r="9" spans="1:27" ht="18" customHeight="1" x14ac:dyDescent="0.25">
      <c r="A9" s="24" t="s">
        <v>5</v>
      </c>
      <c r="B9" s="25">
        <v>0</v>
      </c>
    </row>
    <row r="10" spans="1:27" ht="18" customHeight="1" x14ac:dyDescent="0.25">
      <c r="A10" s="24" t="s">
        <v>6</v>
      </c>
      <c r="B10" s="25">
        <v>0</v>
      </c>
    </row>
    <row r="11" spans="1:27" ht="18" customHeight="1" x14ac:dyDescent="0.25">
      <c r="A11" s="24" t="s">
        <v>7</v>
      </c>
      <c r="B11" s="25">
        <v>0</v>
      </c>
    </row>
    <row r="12" spans="1:27" ht="18" customHeight="1" x14ac:dyDescent="0.25">
      <c r="A12" s="24" t="s">
        <v>8</v>
      </c>
      <c r="B12" s="25">
        <v>0</v>
      </c>
    </row>
    <row r="13" spans="1:27" ht="18" customHeight="1" x14ac:dyDescent="0.25">
      <c r="A13" s="24" t="s">
        <v>9</v>
      </c>
      <c r="B13" s="25">
        <v>0</v>
      </c>
    </row>
    <row r="14" spans="1:27" ht="18" customHeight="1" x14ac:dyDescent="0.25">
      <c r="A14" s="24" t="s">
        <v>10</v>
      </c>
      <c r="B14" s="25">
        <v>0</v>
      </c>
    </row>
    <row r="15" spans="1:27" ht="18" customHeight="1" x14ac:dyDescent="0.25">
      <c r="A15" s="24" t="s">
        <v>11</v>
      </c>
      <c r="B15" s="25">
        <v>0</v>
      </c>
    </row>
    <row r="16" spans="1:27" ht="18" customHeight="1" x14ac:dyDescent="0.25">
      <c r="A16" s="24" t="s">
        <v>12</v>
      </c>
      <c r="B16" s="25">
        <v>2000</v>
      </c>
    </row>
    <row r="17" spans="1:2" ht="18" customHeight="1" x14ac:dyDescent="0.25">
      <c r="A17" s="24" t="s">
        <v>13</v>
      </c>
      <c r="B17" s="25">
        <v>0</v>
      </c>
    </row>
    <row r="18" spans="1:2" ht="18" customHeight="1" x14ac:dyDescent="0.25">
      <c r="A18" s="24" t="s">
        <v>14</v>
      </c>
      <c r="B18" s="25">
        <v>0</v>
      </c>
    </row>
    <row r="19" spans="1:2" ht="18" customHeight="1" x14ac:dyDescent="0.25">
      <c r="A19" s="24" t="s">
        <v>15</v>
      </c>
      <c r="B19" s="25">
        <v>0</v>
      </c>
    </row>
    <row r="20" spans="1:2" ht="18" customHeight="1" x14ac:dyDescent="0.25">
      <c r="A20" s="24" t="s">
        <v>16</v>
      </c>
      <c r="B20" s="25">
        <v>0</v>
      </c>
    </row>
    <row r="21" spans="1:2" ht="18" customHeight="1" x14ac:dyDescent="0.25">
      <c r="A21" s="24" t="s">
        <v>17</v>
      </c>
      <c r="B21" s="25">
        <v>0</v>
      </c>
    </row>
    <row r="22" spans="1:2" ht="18" customHeight="1" x14ac:dyDescent="0.25">
      <c r="A22" s="24" t="s">
        <v>18</v>
      </c>
      <c r="B22" s="25">
        <v>0</v>
      </c>
    </row>
    <row r="23" spans="1:2" ht="18" customHeight="1" x14ac:dyDescent="0.25">
      <c r="A23" s="24" t="s">
        <v>19</v>
      </c>
      <c r="B23" s="25">
        <v>0</v>
      </c>
    </row>
    <row r="24" spans="1:2" ht="18" customHeight="1" x14ac:dyDescent="0.25">
      <c r="A24" s="24" t="s">
        <v>20</v>
      </c>
      <c r="B24" s="25">
        <v>0</v>
      </c>
    </row>
    <row r="25" spans="1:2" ht="18" customHeight="1" x14ac:dyDescent="0.25">
      <c r="A25" s="24" t="s">
        <v>21</v>
      </c>
      <c r="B25" s="25">
        <v>0</v>
      </c>
    </row>
    <row r="26" spans="1:2" ht="18" customHeight="1" x14ac:dyDescent="0.25">
      <c r="A26" s="24" t="s">
        <v>22</v>
      </c>
      <c r="B26" s="25">
        <v>0</v>
      </c>
    </row>
    <row r="27" spans="1:2" ht="18" customHeight="1" x14ac:dyDescent="0.25">
      <c r="A27" s="24" t="s">
        <v>23</v>
      </c>
      <c r="B27" s="25">
        <v>0</v>
      </c>
    </row>
    <row r="28" spans="1:2" ht="18" customHeight="1" x14ac:dyDescent="0.25">
      <c r="A28" s="24" t="s">
        <v>24</v>
      </c>
      <c r="B28" s="25">
        <v>0</v>
      </c>
    </row>
    <row r="29" spans="1:2" ht="18" customHeight="1" x14ac:dyDescent="0.25">
      <c r="A29" s="24" t="s">
        <v>25</v>
      </c>
      <c r="B29" s="25">
        <v>0</v>
      </c>
    </row>
    <row r="30" spans="1:2" ht="18" customHeight="1" x14ac:dyDescent="0.25">
      <c r="A30" s="24" t="s">
        <v>26</v>
      </c>
      <c r="B30" s="25">
        <v>0</v>
      </c>
    </row>
    <row r="31" spans="1:2" ht="18" customHeight="1" x14ac:dyDescent="0.25">
      <c r="A31" s="24" t="s">
        <v>27</v>
      </c>
      <c r="B31" s="25">
        <v>5250</v>
      </c>
    </row>
    <row r="32" spans="1:2" ht="18" customHeight="1" x14ac:dyDescent="0.25">
      <c r="A32" s="24" t="s">
        <v>28</v>
      </c>
      <c r="B32" s="25">
        <v>0</v>
      </c>
    </row>
    <row r="33" spans="1:34" ht="18" customHeight="1" x14ac:dyDescent="0.25">
      <c r="A33" s="24" t="s">
        <v>29</v>
      </c>
      <c r="B33" s="25">
        <v>3600</v>
      </c>
    </row>
    <row r="34" spans="1:34" ht="18" customHeight="1" x14ac:dyDescent="0.25">
      <c r="A34" s="24" t="s">
        <v>30</v>
      </c>
      <c r="B34" s="25">
        <v>8500</v>
      </c>
    </row>
    <row r="35" spans="1:34" ht="18" customHeight="1" x14ac:dyDescent="0.25">
      <c r="A35" s="24" t="s">
        <v>31</v>
      </c>
      <c r="B35" s="25">
        <v>0</v>
      </c>
    </row>
    <row r="36" spans="1:34" ht="18" customHeight="1" x14ac:dyDescent="0.25">
      <c r="A36" s="24" t="s">
        <v>32</v>
      </c>
      <c r="B36" s="25">
        <v>6000</v>
      </c>
    </row>
    <row r="37" spans="1:34" ht="18" customHeight="1" x14ac:dyDescent="0.25">
      <c r="A37" s="24" t="s">
        <v>33</v>
      </c>
      <c r="B37" s="25">
        <v>10000</v>
      </c>
    </row>
    <row r="38" spans="1:34" ht="18" customHeight="1" x14ac:dyDescent="0.25">
      <c r="A38" s="24" t="s">
        <v>34</v>
      </c>
      <c r="B38" s="25">
        <v>0</v>
      </c>
    </row>
    <row r="39" spans="1:34" ht="18" customHeight="1" x14ac:dyDescent="0.25">
      <c r="A39" s="24" t="s">
        <v>35</v>
      </c>
      <c r="B39" s="25">
        <v>10000</v>
      </c>
    </row>
    <row r="40" spans="1:34" ht="21.95" customHeight="1" x14ac:dyDescent="0.25">
      <c r="A40" s="28" t="s">
        <v>36</v>
      </c>
      <c r="B40" s="29">
        <f>SUM(B6:B39)</f>
        <v>46550</v>
      </c>
    </row>
    <row r="42" spans="1:34" ht="27.95" customHeight="1" x14ac:dyDescent="0.25">
      <c r="A42" s="67" t="s">
        <v>162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</row>
    <row r="43" spans="1:34" ht="45" customHeight="1" x14ac:dyDescent="0.25">
      <c r="A43" s="53" t="s">
        <v>0</v>
      </c>
      <c r="B43" s="53" t="s">
        <v>37</v>
      </c>
      <c r="C43" s="53" t="s">
        <v>38</v>
      </c>
      <c r="D43" s="53" t="s">
        <v>39</v>
      </c>
      <c r="E43" s="53" t="s">
        <v>40</v>
      </c>
      <c r="F43" s="53" t="s">
        <v>41</v>
      </c>
      <c r="G43" s="53" t="s">
        <v>42</v>
      </c>
      <c r="H43" s="53" t="s">
        <v>43</v>
      </c>
      <c r="I43" s="53" t="s">
        <v>44</v>
      </c>
      <c r="J43" s="53" t="s">
        <v>45</v>
      </c>
      <c r="K43" s="53" t="s">
        <v>46</v>
      </c>
      <c r="L43" s="53" t="s">
        <v>47</v>
      </c>
      <c r="M43" s="53" t="s">
        <v>48</v>
      </c>
      <c r="N43" s="53" t="s">
        <v>49</v>
      </c>
      <c r="O43" s="53" t="s">
        <v>50</v>
      </c>
      <c r="P43" s="53" t="s">
        <v>51</v>
      </c>
      <c r="Q43" s="53" t="s">
        <v>52</v>
      </c>
      <c r="R43" s="53" t="s">
        <v>53</v>
      </c>
      <c r="S43" s="53" t="s">
        <v>54</v>
      </c>
      <c r="T43" s="53" t="s">
        <v>55</v>
      </c>
      <c r="U43" s="53" t="s">
        <v>56</v>
      </c>
      <c r="V43" s="53" t="s">
        <v>57</v>
      </c>
      <c r="W43" s="53" t="s">
        <v>58</v>
      </c>
      <c r="X43" s="53" t="s">
        <v>59</v>
      </c>
      <c r="Y43" s="53" t="s">
        <v>60</v>
      </c>
      <c r="Z43" s="53" t="s">
        <v>61</v>
      </c>
      <c r="AA43" s="53" t="s">
        <v>62</v>
      </c>
      <c r="AB43" s="53" t="s">
        <v>63</v>
      </c>
      <c r="AC43" s="53" t="s">
        <v>64</v>
      </c>
      <c r="AD43" s="53" t="s">
        <v>65</v>
      </c>
      <c r="AE43" s="53" t="s">
        <v>66</v>
      </c>
      <c r="AF43" s="53" t="s">
        <v>67</v>
      </c>
      <c r="AG43" s="53" t="s">
        <v>68</v>
      </c>
      <c r="AH43" s="53" t="s">
        <v>69</v>
      </c>
    </row>
    <row r="44" spans="1:34" ht="18" customHeight="1" x14ac:dyDescent="0.25">
      <c r="A44" s="26" t="s">
        <v>2</v>
      </c>
      <c r="B44" s="32">
        <v>0</v>
      </c>
      <c r="C44" s="32">
        <v>0</v>
      </c>
      <c r="D44" s="32">
        <v>0</v>
      </c>
      <c r="E44" s="32">
        <v>0</v>
      </c>
      <c r="F44" s="32"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2">
        <v>0</v>
      </c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33">
        <v>0</v>
      </c>
      <c r="Z44" s="33">
        <v>0</v>
      </c>
      <c r="AA44" s="39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</row>
    <row r="45" spans="1:34" ht="18" customHeight="1" x14ac:dyDescent="0.25">
      <c r="A45" s="26" t="s">
        <v>3</v>
      </c>
      <c r="B45" s="32">
        <v>0</v>
      </c>
      <c r="C45" s="32">
        <v>0</v>
      </c>
      <c r="D45" s="32">
        <v>0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32">
        <v>0</v>
      </c>
      <c r="M45" s="32">
        <v>0</v>
      </c>
      <c r="N45" s="32">
        <v>0</v>
      </c>
      <c r="O45" s="32">
        <v>0</v>
      </c>
      <c r="P45" s="32">
        <v>0</v>
      </c>
      <c r="Q45" s="32">
        <v>0</v>
      </c>
      <c r="R45" s="32">
        <v>0</v>
      </c>
      <c r="S45" s="32">
        <v>0</v>
      </c>
      <c r="T45" s="32">
        <v>0</v>
      </c>
      <c r="U45" s="32">
        <v>0</v>
      </c>
      <c r="V45" s="32">
        <v>0</v>
      </c>
      <c r="W45" s="32">
        <v>0.65</v>
      </c>
      <c r="X45" s="32">
        <v>0</v>
      </c>
      <c r="Y45" s="33">
        <v>0.35</v>
      </c>
      <c r="Z45" s="33">
        <v>0</v>
      </c>
      <c r="AA45" s="39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</row>
    <row r="46" spans="1:34" ht="18" customHeight="1" x14ac:dyDescent="0.25">
      <c r="A46" s="26" t="s">
        <v>4</v>
      </c>
      <c r="B46" s="32">
        <v>0</v>
      </c>
      <c r="C46" s="32">
        <v>0</v>
      </c>
      <c r="D46" s="32">
        <v>0</v>
      </c>
      <c r="E46" s="32">
        <v>0</v>
      </c>
      <c r="F46" s="32">
        <v>0</v>
      </c>
      <c r="G46" s="32">
        <v>0</v>
      </c>
      <c r="H46" s="32">
        <v>0</v>
      </c>
      <c r="I46" s="32">
        <v>0</v>
      </c>
      <c r="J46" s="32">
        <v>0</v>
      </c>
      <c r="K46" s="32">
        <v>0</v>
      </c>
      <c r="L46" s="32">
        <v>0</v>
      </c>
      <c r="M46" s="32">
        <v>0</v>
      </c>
      <c r="N46" s="32">
        <v>0</v>
      </c>
      <c r="O46" s="32">
        <v>0</v>
      </c>
      <c r="P46" s="32">
        <v>0</v>
      </c>
      <c r="Q46" s="32">
        <v>0</v>
      </c>
      <c r="R46" s="32">
        <v>0</v>
      </c>
      <c r="S46" s="32">
        <v>0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33">
        <v>0</v>
      </c>
      <c r="Z46" s="33">
        <v>0</v>
      </c>
      <c r="AA46" s="39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</row>
    <row r="47" spans="1:34" ht="18" customHeight="1" x14ac:dyDescent="0.25">
      <c r="A47" s="26" t="s">
        <v>5</v>
      </c>
      <c r="B47" s="32">
        <v>0</v>
      </c>
      <c r="C47" s="32">
        <v>0</v>
      </c>
      <c r="D47" s="32">
        <v>0</v>
      </c>
      <c r="E47" s="32">
        <v>0</v>
      </c>
      <c r="F47" s="32"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  <c r="M47" s="32">
        <v>0</v>
      </c>
      <c r="N47" s="32">
        <v>0</v>
      </c>
      <c r="O47" s="32">
        <v>0</v>
      </c>
      <c r="P47" s="32">
        <v>0</v>
      </c>
      <c r="Q47" s="32">
        <v>0</v>
      </c>
      <c r="R47" s="32">
        <v>0</v>
      </c>
      <c r="S47" s="32">
        <v>0</v>
      </c>
      <c r="T47" s="32">
        <v>0</v>
      </c>
      <c r="U47" s="32">
        <v>0</v>
      </c>
      <c r="V47" s="32">
        <v>0</v>
      </c>
      <c r="W47" s="32">
        <v>0</v>
      </c>
      <c r="X47" s="32">
        <v>0</v>
      </c>
      <c r="Y47" s="33">
        <v>0</v>
      </c>
      <c r="Z47" s="33">
        <v>0</v>
      </c>
      <c r="AA47" s="39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</row>
    <row r="48" spans="1:34" ht="18" customHeight="1" x14ac:dyDescent="0.25">
      <c r="A48" s="26" t="s">
        <v>6</v>
      </c>
      <c r="B48" s="32">
        <v>0</v>
      </c>
      <c r="C48" s="32">
        <v>0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0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0</v>
      </c>
      <c r="W48" s="32">
        <v>0</v>
      </c>
      <c r="X48" s="32">
        <v>0</v>
      </c>
      <c r="Y48" s="33">
        <v>0</v>
      </c>
      <c r="Z48" s="33">
        <v>0</v>
      </c>
      <c r="AA48" s="39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</row>
    <row r="49" spans="1:34" ht="18" customHeight="1" x14ac:dyDescent="0.25">
      <c r="A49" s="26" t="s">
        <v>7</v>
      </c>
      <c r="B49" s="32">
        <v>0</v>
      </c>
      <c r="C49" s="32">
        <v>0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0</v>
      </c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0</v>
      </c>
      <c r="W49" s="32">
        <v>0</v>
      </c>
      <c r="X49" s="32">
        <v>0</v>
      </c>
      <c r="Y49" s="33">
        <v>0</v>
      </c>
      <c r="Z49" s="33">
        <v>0</v>
      </c>
      <c r="AA49" s="39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</row>
    <row r="50" spans="1:34" ht="18" customHeight="1" x14ac:dyDescent="0.25">
      <c r="A50" s="26" t="s">
        <v>8</v>
      </c>
      <c r="B50" s="32">
        <v>0</v>
      </c>
      <c r="C50" s="32">
        <v>0.6</v>
      </c>
      <c r="D50" s="32">
        <v>0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32">
        <v>0</v>
      </c>
      <c r="K50" s="32">
        <v>0</v>
      </c>
      <c r="L50" s="32">
        <v>0</v>
      </c>
      <c r="M50" s="32">
        <v>0</v>
      </c>
      <c r="N50" s="32">
        <v>0</v>
      </c>
      <c r="O50" s="32">
        <v>0</v>
      </c>
      <c r="P50" s="32">
        <v>0</v>
      </c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33">
        <v>0</v>
      </c>
      <c r="Z50" s="33">
        <v>0</v>
      </c>
      <c r="AA50" s="39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</row>
    <row r="51" spans="1:34" ht="18" customHeight="1" x14ac:dyDescent="0.25">
      <c r="A51" s="26" t="s">
        <v>9</v>
      </c>
      <c r="B51" s="32">
        <v>0</v>
      </c>
      <c r="C51" s="32">
        <v>0</v>
      </c>
      <c r="D51" s="32">
        <v>0</v>
      </c>
      <c r="E51" s="32">
        <v>0</v>
      </c>
      <c r="F51" s="32">
        <v>0</v>
      </c>
      <c r="G51" s="32">
        <v>0</v>
      </c>
      <c r="H51" s="32">
        <v>0</v>
      </c>
      <c r="I51" s="32">
        <v>0</v>
      </c>
      <c r="J51" s="32">
        <v>0</v>
      </c>
      <c r="K51" s="32">
        <v>0</v>
      </c>
      <c r="L51" s="32">
        <v>0</v>
      </c>
      <c r="M51" s="32">
        <v>0</v>
      </c>
      <c r="N51" s="32">
        <v>0</v>
      </c>
      <c r="O51" s="32">
        <v>0</v>
      </c>
      <c r="P51" s="32">
        <v>0</v>
      </c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33">
        <v>0</v>
      </c>
      <c r="Z51" s="33">
        <v>0</v>
      </c>
      <c r="AA51" s="39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</row>
    <row r="52" spans="1:34" ht="18" customHeight="1" x14ac:dyDescent="0.25">
      <c r="A52" s="26" t="s">
        <v>10</v>
      </c>
      <c r="B52" s="32">
        <v>0</v>
      </c>
      <c r="C52" s="32">
        <v>0</v>
      </c>
      <c r="D52" s="32">
        <v>0</v>
      </c>
      <c r="E52" s="32">
        <v>0</v>
      </c>
      <c r="F52" s="32">
        <v>0</v>
      </c>
      <c r="G52" s="32">
        <v>0</v>
      </c>
      <c r="H52" s="32">
        <v>0</v>
      </c>
      <c r="I52" s="32">
        <v>0</v>
      </c>
      <c r="J52" s="32">
        <v>0</v>
      </c>
      <c r="K52" s="32">
        <v>0</v>
      </c>
      <c r="L52" s="32">
        <v>0</v>
      </c>
      <c r="M52" s="32">
        <v>0</v>
      </c>
      <c r="N52" s="32">
        <v>0</v>
      </c>
      <c r="O52" s="32">
        <v>0</v>
      </c>
      <c r="P52" s="32">
        <v>0</v>
      </c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33">
        <v>0</v>
      </c>
      <c r="Z52" s="33">
        <v>0</v>
      </c>
      <c r="AA52" s="39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</row>
    <row r="53" spans="1:34" ht="18" customHeight="1" x14ac:dyDescent="0.25">
      <c r="A53" s="26" t="s">
        <v>11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33">
        <v>0</v>
      </c>
      <c r="Z53" s="33">
        <v>0</v>
      </c>
      <c r="AA53" s="39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</row>
    <row r="54" spans="1:34" ht="18" customHeight="1" x14ac:dyDescent="0.25">
      <c r="A54" s="26" t="s">
        <v>12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0</v>
      </c>
      <c r="V54" s="32">
        <v>0</v>
      </c>
      <c r="W54" s="32">
        <v>0</v>
      </c>
      <c r="X54" s="32">
        <v>0</v>
      </c>
      <c r="Y54" s="33">
        <v>0</v>
      </c>
      <c r="Z54" s="33">
        <v>0</v>
      </c>
      <c r="AA54" s="39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0.05</v>
      </c>
    </row>
    <row r="55" spans="1:34" ht="18" customHeight="1" x14ac:dyDescent="0.25">
      <c r="A55" s="26" t="s">
        <v>13</v>
      </c>
      <c r="B55" s="32">
        <v>0</v>
      </c>
      <c r="C55" s="32">
        <v>0</v>
      </c>
      <c r="D55" s="32">
        <v>0</v>
      </c>
      <c r="E55" s="32">
        <v>0</v>
      </c>
      <c r="F55" s="32">
        <v>0</v>
      </c>
      <c r="G55" s="32">
        <v>0.5</v>
      </c>
      <c r="H55" s="32">
        <v>0</v>
      </c>
      <c r="I55" s="32">
        <v>0</v>
      </c>
      <c r="J55" s="32">
        <v>0</v>
      </c>
      <c r="K55" s="32">
        <v>0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33">
        <v>0.5</v>
      </c>
      <c r="Z55" s="33">
        <v>0</v>
      </c>
      <c r="AA55" s="39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</row>
    <row r="56" spans="1:34" ht="18" customHeight="1" x14ac:dyDescent="0.25">
      <c r="A56" s="26" t="s">
        <v>14</v>
      </c>
      <c r="B56" s="32">
        <v>0</v>
      </c>
      <c r="C56" s="32">
        <v>0</v>
      </c>
      <c r="D56" s="32">
        <v>0</v>
      </c>
      <c r="E56" s="32">
        <v>0</v>
      </c>
      <c r="F56" s="32">
        <v>0</v>
      </c>
      <c r="G56" s="32">
        <v>0</v>
      </c>
      <c r="H56" s="32">
        <v>0</v>
      </c>
      <c r="I56" s="32">
        <v>0</v>
      </c>
      <c r="J56" s="32">
        <v>0</v>
      </c>
      <c r="K56" s="32">
        <v>0</v>
      </c>
      <c r="L56" s="32">
        <v>0</v>
      </c>
      <c r="M56" s="32">
        <v>0.62</v>
      </c>
      <c r="N56" s="32">
        <v>0</v>
      </c>
      <c r="O56" s="32">
        <v>0</v>
      </c>
      <c r="P56" s="32">
        <v>0</v>
      </c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33">
        <v>0.38</v>
      </c>
      <c r="Z56" s="33">
        <v>0</v>
      </c>
      <c r="AA56" s="39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</row>
    <row r="57" spans="1:34" ht="18" customHeight="1" x14ac:dyDescent="0.25">
      <c r="A57" s="26" t="s">
        <v>15</v>
      </c>
      <c r="B57" s="32">
        <v>0</v>
      </c>
      <c r="C57" s="32">
        <v>0</v>
      </c>
      <c r="D57" s="32">
        <v>0</v>
      </c>
      <c r="E57" s="32">
        <v>0</v>
      </c>
      <c r="F57" s="32">
        <v>0</v>
      </c>
      <c r="G57" s="32">
        <v>0</v>
      </c>
      <c r="H57" s="32">
        <v>0</v>
      </c>
      <c r="I57" s="32">
        <v>0</v>
      </c>
      <c r="J57" s="32">
        <v>0</v>
      </c>
      <c r="K57" s="32">
        <v>0</v>
      </c>
      <c r="L57" s="32">
        <v>0</v>
      </c>
      <c r="M57" s="32">
        <v>0</v>
      </c>
      <c r="N57" s="32">
        <v>0</v>
      </c>
      <c r="O57" s="32">
        <v>0</v>
      </c>
      <c r="P57" s="32">
        <v>0</v>
      </c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33">
        <v>0.625</v>
      </c>
      <c r="Z57" s="33">
        <v>0</v>
      </c>
      <c r="AA57" s="39">
        <v>0</v>
      </c>
      <c r="AB57" s="44">
        <v>0.625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</row>
    <row r="58" spans="1:34" ht="18" customHeight="1" x14ac:dyDescent="0.25">
      <c r="A58" s="26" t="s">
        <v>16</v>
      </c>
      <c r="B58" s="32">
        <v>0</v>
      </c>
      <c r="C58" s="32">
        <v>0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0</v>
      </c>
      <c r="K58" s="32">
        <v>0</v>
      </c>
      <c r="L58" s="32">
        <v>0</v>
      </c>
      <c r="M58" s="32">
        <v>0</v>
      </c>
      <c r="N58" s="32">
        <v>0</v>
      </c>
      <c r="O58" s="32">
        <v>0</v>
      </c>
      <c r="P58" s="32">
        <v>0.7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33">
        <v>0.3</v>
      </c>
      <c r="Z58" s="33">
        <v>0</v>
      </c>
      <c r="AA58" s="39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</row>
    <row r="59" spans="1:34" ht="18" customHeight="1" x14ac:dyDescent="0.25">
      <c r="A59" s="26" t="s">
        <v>17</v>
      </c>
      <c r="B59" s="32">
        <v>0</v>
      </c>
      <c r="C59" s="32">
        <v>0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0.5</v>
      </c>
      <c r="N59" s="32">
        <v>0</v>
      </c>
      <c r="O59" s="32">
        <v>0</v>
      </c>
      <c r="P59" s="32">
        <v>0</v>
      </c>
      <c r="Q59" s="32">
        <v>0</v>
      </c>
      <c r="R59" s="32">
        <v>0</v>
      </c>
      <c r="S59" s="32">
        <v>0</v>
      </c>
      <c r="T59" s="32">
        <v>0</v>
      </c>
      <c r="U59" s="32">
        <v>0</v>
      </c>
      <c r="V59" s="32">
        <v>0</v>
      </c>
      <c r="W59" s="32">
        <v>0</v>
      </c>
      <c r="X59" s="32">
        <v>0</v>
      </c>
      <c r="Y59" s="33">
        <v>0.5</v>
      </c>
      <c r="Z59" s="33">
        <v>0</v>
      </c>
      <c r="AA59" s="39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</row>
    <row r="60" spans="1:34" ht="18" customHeight="1" x14ac:dyDescent="0.25">
      <c r="A60" s="26" t="s">
        <v>18</v>
      </c>
      <c r="B60" s="32">
        <v>0</v>
      </c>
      <c r="C60" s="32">
        <v>0</v>
      </c>
      <c r="D60" s="32">
        <v>0</v>
      </c>
      <c r="E60" s="32">
        <v>0</v>
      </c>
      <c r="F60" s="32">
        <v>0.5</v>
      </c>
      <c r="G60" s="32">
        <v>0</v>
      </c>
      <c r="H60" s="32">
        <v>0</v>
      </c>
      <c r="I60" s="32">
        <v>0</v>
      </c>
      <c r="J60" s="32">
        <v>0</v>
      </c>
      <c r="K60" s="32">
        <v>0</v>
      </c>
      <c r="L60" s="32">
        <v>0</v>
      </c>
      <c r="M60" s="32">
        <v>0</v>
      </c>
      <c r="N60" s="32">
        <v>0</v>
      </c>
      <c r="O60" s="32">
        <v>0</v>
      </c>
      <c r="P60" s="32">
        <v>0</v>
      </c>
      <c r="Q60" s="32">
        <v>0</v>
      </c>
      <c r="R60" s="32">
        <v>0</v>
      </c>
      <c r="S60" s="32">
        <v>0</v>
      </c>
      <c r="T60" s="32">
        <v>0</v>
      </c>
      <c r="U60" s="32">
        <v>0</v>
      </c>
      <c r="V60" s="32">
        <v>0</v>
      </c>
      <c r="W60" s="32">
        <v>0</v>
      </c>
      <c r="X60" s="32">
        <v>0</v>
      </c>
      <c r="Y60" s="33">
        <v>0.5</v>
      </c>
      <c r="Z60" s="33">
        <v>0</v>
      </c>
      <c r="AA60" s="39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</row>
    <row r="61" spans="1:34" ht="18" customHeight="1" x14ac:dyDescent="0.25">
      <c r="A61" s="26" t="s">
        <v>19</v>
      </c>
      <c r="B61" s="32">
        <v>0</v>
      </c>
      <c r="C61" s="32">
        <v>0</v>
      </c>
      <c r="D61" s="32">
        <v>0</v>
      </c>
      <c r="E61" s="32">
        <v>0</v>
      </c>
      <c r="F61" s="34">
        <v>0</v>
      </c>
      <c r="G61" s="32">
        <v>0</v>
      </c>
      <c r="H61" s="32">
        <v>0</v>
      </c>
      <c r="I61" s="32">
        <v>0</v>
      </c>
      <c r="J61" s="32">
        <v>0</v>
      </c>
      <c r="K61" s="32">
        <v>0.17269999999999999</v>
      </c>
      <c r="L61" s="32">
        <v>0</v>
      </c>
      <c r="M61" s="32">
        <v>0</v>
      </c>
      <c r="N61" s="32">
        <v>0</v>
      </c>
      <c r="O61" s="32">
        <v>0</v>
      </c>
      <c r="P61" s="32">
        <v>0</v>
      </c>
      <c r="Q61" s="32">
        <v>0</v>
      </c>
      <c r="R61" s="32">
        <v>0</v>
      </c>
      <c r="S61" s="32">
        <v>0</v>
      </c>
      <c r="T61" s="32">
        <v>0</v>
      </c>
      <c r="U61" s="32">
        <v>0</v>
      </c>
      <c r="V61" s="32">
        <v>0</v>
      </c>
      <c r="W61" s="32">
        <v>0</v>
      </c>
      <c r="X61" s="32">
        <v>0</v>
      </c>
      <c r="Y61" s="33">
        <v>0.76370000000000005</v>
      </c>
      <c r="Z61" s="33">
        <v>0</v>
      </c>
      <c r="AA61" s="39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</row>
    <row r="62" spans="1:34" ht="18" customHeight="1" x14ac:dyDescent="0.25">
      <c r="A62" s="26" t="s">
        <v>20</v>
      </c>
      <c r="B62" s="32">
        <v>0</v>
      </c>
      <c r="C62" s="32">
        <v>0</v>
      </c>
      <c r="D62" s="32">
        <v>0</v>
      </c>
      <c r="E62" s="32">
        <v>0</v>
      </c>
      <c r="F62" s="32">
        <v>0</v>
      </c>
      <c r="G62" s="32">
        <v>0</v>
      </c>
      <c r="H62" s="32">
        <v>0</v>
      </c>
      <c r="I62" s="32">
        <v>0</v>
      </c>
      <c r="J62" s="32">
        <v>0</v>
      </c>
      <c r="K62" s="32">
        <v>0</v>
      </c>
      <c r="L62" s="32">
        <v>0</v>
      </c>
      <c r="M62" s="32">
        <v>0</v>
      </c>
      <c r="N62" s="32">
        <v>0</v>
      </c>
      <c r="O62" s="32">
        <v>0</v>
      </c>
      <c r="P62" s="32">
        <v>0</v>
      </c>
      <c r="Q62" s="32">
        <v>0</v>
      </c>
      <c r="R62" s="32">
        <v>0</v>
      </c>
      <c r="S62" s="32">
        <v>0</v>
      </c>
      <c r="T62" s="32">
        <v>0</v>
      </c>
      <c r="U62" s="32">
        <v>0</v>
      </c>
      <c r="V62" s="32">
        <v>0</v>
      </c>
      <c r="W62" s="32">
        <v>0</v>
      </c>
      <c r="X62" s="32">
        <v>0</v>
      </c>
      <c r="Y62" s="33">
        <v>0</v>
      </c>
      <c r="Z62" s="33">
        <v>0</v>
      </c>
      <c r="AA62" s="39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0.05</v>
      </c>
    </row>
    <row r="63" spans="1:34" ht="18" customHeight="1" x14ac:dyDescent="0.25">
      <c r="A63" s="26" t="s">
        <v>21</v>
      </c>
      <c r="B63" s="32">
        <v>0</v>
      </c>
      <c r="C63" s="32">
        <v>0</v>
      </c>
      <c r="D63" s="32">
        <v>0</v>
      </c>
      <c r="E63" s="32">
        <v>0</v>
      </c>
      <c r="F63" s="32">
        <v>0</v>
      </c>
      <c r="G63" s="32">
        <v>0</v>
      </c>
      <c r="H63" s="32">
        <v>0.77400000000000002</v>
      </c>
      <c r="I63" s="32">
        <v>0</v>
      </c>
      <c r="J63" s="32">
        <v>0</v>
      </c>
      <c r="K63" s="32">
        <v>0</v>
      </c>
      <c r="L63" s="32">
        <v>0</v>
      </c>
      <c r="M63" s="32">
        <v>0</v>
      </c>
      <c r="N63" s="32">
        <v>0</v>
      </c>
      <c r="O63" s="32">
        <v>0</v>
      </c>
      <c r="P63" s="32">
        <v>0</v>
      </c>
      <c r="Q63" s="32">
        <v>0</v>
      </c>
      <c r="R63" s="32">
        <v>0</v>
      </c>
      <c r="S63" s="32">
        <v>0</v>
      </c>
      <c r="T63" s="32">
        <v>0</v>
      </c>
      <c r="U63" s="32">
        <v>0</v>
      </c>
      <c r="V63" s="32">
        <v>0</v>
      </c>
      <c r="W63" s="32">
        <v>0</v>
      </c>
      <c r="X63" s="32">
        <v>0</v>
      </c>
      <c r="Y63" s="33">
        <v>0.22600000000000001</v>
      </c>
      <c r="Z63" s="33">
        <v>0</v>
      </c>
      <c r="AA63" s="39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</row>
    <row r="64" spans="1:34" ht="18" customHeight="1" x14ac:dyDescent="0.25">
      <c r="A64" s="26" t="s">
        <v>22</v>
      </c>
      <c r="B64" s="32">
        <v>0</v>
      </c>
      <c r="C64" s="32">
        <v>0</v>
      </c>
      <c r="D64" s="32">
        <v>0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32">
        <v>0</v>
      </c>
      <c r="K64" s="32">
        <v>0</v>
      </c>
      <c r="L64" s="32">
        <v>0</v>
      </c>
      <c r="M64" s="32">
        <v>0</v>
      </c>
      <c r="N64" s="32">
        <v>0</v>
      </c>
      <c r="O64" s="32">
        <v>0</v>
      </c>
      <c r="P64" s="32">
        <v>0</v>
      </c>
      <c r="Q64" s="32">
        <v>0</v>
      </c>
      <c r="R64" s="32">
        <v>0</v>
      </c>
      <c r="S64" s="32">
        <v>0</v>
      </c>
      <c r="T64" s="32">
        <v>0</v>
      </c>
      <c r="U64" s="32">
        <v>0</v>
      </c>
      <c r="V64" s="32">
        <v>0</v>
      </c>
      <c r="W64" s="32">
        <v>0</v>
      </c>
      <c r="X64" s="32">
        <v>0</v>
      </c>
      <c r="Y64" s="33">
        <v>0.25</v>
      </c>
      <c r="Z64" s="33">
        <v>0</v>
      </c>
      <c r="AA64" s="39">
        <v>0</v>
      </c>
      <c r="AB64" s="44">
        <v>0</v>
      </c>
      <c r="AC64" s="44">
        <v>0</v>
      </c>
      <c r="AD64" s="44">
        <v>0.75</v>
      </c>
      <c r="AE64" s="44">
        <v>0</v>
      </c>
      <c r="AF64" s="44">
        <v>0</v>
      </c>
      <c r="AG64" s="44">
        <v>0</v>
      </c>
      <c r="AH64" s="44">
        <v>0</v>
      </c>
    </row>
    <row r="65" spans="1:34" ht="18" customHeight="1" x14ac:dyDescent="0.25">
      <c r="A65" s="26" t="s">
        <v>23</v>
      </c>
      <c r="B65" s="32">
        <v>0</v>
      </c>
      <c r="C65" s="32">
        <v>0</v>
      </c>
      <c r="D65" s="32">
        <v>0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32">
        <v>0</v>
      </c>
      <c r="K65" s="32">
        <v>0</v>
      </c>
      <c r="L65" s="32">
        <v>0</v>
      </c>
      <c r="M65" s="32">
        <v>0</v>
      </c>
      <c r="N65" s="32">
        <v>0</v>
      </c>
      <c r="O65" s="32">
        <v>0</v>
      </c>
      <c r="P65" s="32">
        <v>0</v>
      </c>
      <c r="Q65" s="32">
        <v>0</v>
      </c>
      <c r="R65" s="32">
        <v>0</v>
      </c>
      <c r="S65" s="32">
        <v>0</v>
      </c>
      <c r="T65" s="32">
        <v>0</v>
      </c>
      <c r="U65" s="32">
        <v>0</v>
      </c>
      <c r="V65" s="32">
        <v>0</v>
      </c>
      <c r="W65" s="32">
        <v>0</v>
      </c>
      <c r="X65" s="32">
        <v>0</v>
      </c>
      <c r="Y65" s="33">
        <v>0.4</v>
      </c>
      <c r="Z65" s="33">
        <v>0</v>
      </c>
      <c r="AA65" s="39">
        <v>0</v>
      </c>
      <c r="AB65" s="44">
        <v>0</v>
      </c>
      <c r="AC65" s="44">
        <v>0.3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</row>
    <row r="66" spans="1:34" ht="18" customHeight="1" x14ac:dyDescent="0.25">
      <c r="A66" s="26" t="s">
        <v>24</v>
      </c>
      <c r="B66" s="32">
        <v>0</v>
      </c>
      <c r="C66" s="32">
        <v>0</v>
      </c>
      <c r="D66" s="32">
        <v>0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32">
        <v>0</v>
      </c>
      <c r="K66" s="32">
        <v>0</v>
      </c>
      <c r="L66" s="32">
        <v>0</v>
      </c>
      <c r="M66" s="32">
        <v>0</v>
      </c>
      <c r="N66" s="32">
        <v>0</v>
      </c>
      <c r="O66" s="32">
        <v>0</v>
      </c>
      <c r="P66" s="32">
        <v>0</v>
      </c>
      <c r="Q66" s="32">
        <v>0</v>
      </c>
      <c r="R66" s="32">
        <v>0</v>
      </c>
      <c r="S66" s="32">
        <v>0</v>
      </c>
      <c r="T66" s="32">
        <v>0</v>
      </c>
      <c r="U66" s="32">
        <v>0</v>
      </c>
      <c r="V66" s="32">
        <v>0</v>
      </c>
      <c r="W66" s="32">
        <v>0</v>
      </c>
      <c r="X66" s="32">
        <v>0.85</v>
      </c>
      <c r="Y66" s="33">
        <v>0.15</v>
      </c>
      <c r="Z66" s="33">
        <v>0</v>
      </c>
      <c r="AA66" s="39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</row>
    <row r="67" spans="1:34" ht="18" customHeight="1" x14ac:dyDescent="0.25">
      <c r="A67" s="26" t="s">
        <v>25</v>
      </c>
      <c r="B67" s="32">
        <v>0</v>
      </c>
      <c r="C67" s="32">
        <v>0</v>
      </c>
      <c r="D67" s="32">
        <v>0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32">
        <v>0</v>
      </c>
      <c r="K67" s="32">
        <v>0</v>
      </c>
      <c r="L67" s="32">
        <v>0</v>
      </c>
      <c r="M67" s="32">
        <v>0</v>
      </c>
      <c r="N67" s="32">
        <v>0</v>
      </c>
      <c r="O67" s="32">
        <v>0</v>
      </c>
      <c r="P67" s="32">
        <v>0.94</v>
      </c>
      <c r="Q67" s="32">
        <v>0</v>
      </c>
      <c r="R67" s="32">
        <v>0</v>
      </c>
      <c r="S67" s="32">
        <v>0</v>
      </c>
      <c r="T67" s="32">
        <v>0</v>
      </c>
      <c r="U67" s="32">
        <v>0</v>
      </c>
      <c r="V67" s="32">
        <v>0</v>
      </c>
      <c r="W67" s="32">
        <v>0</v>
      </c>
      <c r="X67" s="32">
        <v>0</v>
      </c>
      <c r="Y67" s="33">
        <v>0.06</v>
      </c>
      <c r="Z67" s="33">
        <v>0</v>
      </c>
      <c r="AA67" s="39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</row>
    <row r="68" spans="1:34" ht="18" customHeight="1" x14ac:dyDescent="0.25">
      <c r="A68" s="26" t="s">
        <v>26</v>
      </c>
      <c r="B68" s="32">
        <v>0</v>
      </c>
      <c r="C68" s="32">
        <v>0</v>
      </c>
      <c r="D68" s="32">
        <v>0</v>
      </c>
      <c r="E68" s="32">
        <v>0</v>
      </c>
      <c r="F68" s="32">
        <v>0</v>
      </c>
      <c r="G68" s="32">
        <v>0</v>
      </c>
      <c r="H68" s="32">
        <v>0</v>
      </c>
      <c r="I68" s="32">
        <v>0</v>
      </c>
      <c r="J68" s="32">
        <v>0</v>
      </c>
      <c r="K68" s="32">
        <v>0</v>
      </c>
      <c r="L68" s="32">
        <v>0</v>
      </c>
      <c r="M68" s="32">
        <v>0</v>
      </c>
      <c r="N68" s="32">
        <v>0</v>
      </c>
      <c r="O68" s="32">
        <v>0</v>
      </c>
      <c r="P68" s="32">
        <v>0</v>
      </c>
      <c r="Q68" s="32">
        <v>0</v>
      </c>
      <c r="R68" s="32">
        <v>0.38</v>
      </c>
      <c r="S68" s="32">
        <v>0.12</v>
      </c>
      <c r="T68" s="32">
        <v>0</v>
      </c>
      <c r="U68" s="32">
        <v>0</v>
      </c>
      <c r="V68" s="32">
        <v>0</v>
      </c>
      <c r="W68" s="32">
        <v>0</v>
      </c>
      <c r="X68" s="32">
        <v>0.36899999999999999</v>
      </c>
      <c r="Y68" s="33">
        <v>0.12</v>
      </c>
      <c r="Z68" s="33">
        <v>0</v>
      </c>
      <c r="AA68" s="39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</row>
    <row r="69" spans="1:34" ht="18" customHeight="1" x14ac:dyDescent="0.25">
      <c r="A69" s="26" t="s">
        <v>27</v>
      </c>
      <c r="B69" s="32">
        <v>0</v>
      </c>
      <c r="C69" s="32">
        <v>0</v>
      </c>
      <c r="D69" s="32">
        <v>0</v>
      </c>
      <c r="E69" s="32">
        <v>0</v>
      </c>
      <c r="F69" s="32">
        <v>0</v>
      </c>
      <c r="G69" s="32">
        <v>0</v>
      </c>
      <c r="H69" s="32">
        <v>0</v>
      </c>
      <c r="I69" s="32">
        <v>0</v>
      </c>
      <c r="J69" s="32">
        <v>0</v>
      </c>
      <c r="K69" s="32">
        <v>0</v>
      </c>
      <c r="L69" s="32">
        <v>0</v>
      </c>
      <c r="M69" s="32">
        <v>0</v>
      </c>
      <c r="N69" s="32">
        <v>0</v>
      </c>
      <c r="O69" s="32">
        <v>0</v>
      </c>
      <c r="P69" s="32">
        <v>0</v>
      </c>
      <c r="Q69" s="32">
        <v>0</v>
      </c>
      <c r="R69" s="32">
        <v>0</v>
      </c>
      <c r="S69" s="32">
        <v>0</v>
      </c>
      <c r="T69" s="32">
        <v>0</v>
      </c>
      <c r="U69" s="32">
        <v>0</v>
      </c>
      <c r="V69" s="32">
        <v>0</v>
      </c>
      <c r="W69" s="32">
        <v>0</v>
      </c>
      <c r="X69" s="32">
        <v>0</v>
      </c>
      <c r="Y69" s="33">
        <v>0.26900000000000002</v>
      </c>
      <c r="Z69" s="33">
        <v>0</v>
      </c>
      <c r="AA69" s="39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0.71399999999999997</v>
      </c>
    </row>
    <row r="70" spans="1:34" ht="18" customHeight="1" x14ac:dyDescent="0.25">
      <c r="A70" s="26" t="s">
        <v>28</v>
      </c>
      <c r="B70" s="32">
        <v>0</v>
      </c>
      <c r="C70" s="32">
        <v>0</v>
      </c>
      <c r="D70" s="32">
        <v>0</v>
      </c>
      <c r="E70" s="32">
        <v>0</v>
      </c>
      <c r="F70" s="32">
        <v>0</v>
      </c>
      <c r="G70" s="32">
        <v>0</v>
      </c>
      <c r="H70" s="32">
        <v>0</v>
      </c>
      <c r="I70" s="32">
        <v>0</v>
      </c>
      <c r="J70" s="32">
        <v>0</v>
      </c>
      <c r="K70" s="32">
        <v>0</v>
      </c>
      <c r="L70" s="32">
        <v>0</v>
      </c>
      <c r="M70" s="32">
        <v>0</v>
      </c>
      <c r="N70" s="32">
        <v>0</v>
      </c>
      <c r="O70" s="32">
        <v>0</v>
      </c>
      <c r="P70" s="32">
        <v>0</v>
      </c>
      <c r="Q70" s="32">
        <v>0</v>
      </c>
      <c r="R70" s="32">
        <v>0</v>
      </c>
      <c r="S70" s="32">
        <v>0</v>
      </c>
      <c r="T70" s="32">
        <v>0.55554999999999999</v>
      </c>
      <c r="U70" s="32">
        <v>0</v>
      </c>
      <c r="V70" s="32">
        <v>0</v>
      </c>
      <c r="W70" s="32">
        <v>0</v>
      </c>
      <c r="X70" s="32">
        <v>0</v>
      </c>
      <c r="Y70" s="33">
        <v>0.44445000000000001</v>
      </c>
      <c r="Z70" s="33">
        <v>0</v>
      </c>
      <c r="AA70" s="39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</row>
    <row r="71" spans="1:34" ht="18" customHeight="1" x14ac:dyDescent="0.25">
      <c r="A71" s="26" t="s">
        <v>29</v>
      </c>
      <c r="B71" s="32">
        <v>0</v>
      </c>
      <c r="C71" s="32">
        <v>0</v>
      </c>
      <c r="D71" s="32">
        <v>0</v>
      </c>
      <c r="E71" s="32">
        <v>0</v>
      </c>
      <c r="F71" s="32">
        <v>0</v>
      </c>
      <c r="G71" s="32">
        <v>0</v>
      </c>
      <c r="H71" s="32">
        <v>0</v>
      </c>
      <c r="I71" s="32">
        <v>0</v>
      </c>
      <c r="J71" s="32">
        <v>0</v>
      </c>
      <c r="K71" s="32">
        <v>0</v>
      </c>
      <c r="L71" s="32">
        <v>0</v>
      </c>
      <c r="M71" s="32">
        <v>0</v>
      </c>
      <c r="N71" s="32">
        <v>0</v>
      </c>
      <c r="O71" s="32">
        <v>0</v>
      </c>
      <c r="P71" s="32">
        <v>0.17780000000000001</v>
      </c>
      <c r="Q71" s="32">
        <v>0</v>
      </c>
      <c r="R71" s="32">
        <v>0</v>
      </c>
      <c r="S71" s="32">
        <v>0</v>
      </c>
      <c r="T71" s="32">
        <v>0</v>
      </c>
      <c r="U71" s="32">
        <v>0</v>
      </c>
      <c r="V71" s="32">
        <v>0.67779999999999996</v>
      </c>
      <c r="W71" s="32">
        <v>0</v>
      </c>
      <c r="X71" s="32">
        <v>0</v>
      </c>
      <c r="Y71" s="33">
        <v>0.1444</v>
      </c>
      <c r="Z71" s="33">
        <v>0</v>
      </c>
      <c r="AA71" s="39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</row>
    <row r="72" spans="1:34" ht="18" customHeight="1" x14ac:dyDescent="0.25">
      <c r="A72" s="26" t="s">
        <v>30</v>
      </c>
      <c r="B72" s="32">
        <v>0</v>
      </c>
      <c r="C72" s="32">
        <v>0</v>
      </c>
      <c r="D72" s="32">
        <v>0</v>
      </c>
      <c r="E72" s="32">
        <v>0</v>
      </c>
      <c r="F72" s="32">
        <v>0</v>
      </c>
      <c r="G72" s="32">
        <v>0</v>
      </c>
      <c r="H72" s="32">
        <v>0</v>
      </c>
      <c r="I72" s="32">
        <v>0</v>
      </c>
      <c r="J72" s="32">
        <v>0</v>
      </c>
      <c r="K72" s="32">
        <v>0</v>
      </c>
      <c r="L72" s="32">
        <v>0</v>
      </c>
      <c r="M72" s="32">
        <v>0</v>
      </c>
      <c r="N72" s="32">
        <v>0</v>
      </c>
      <c r="O72" s="32">
        <v>0</v>
      </c>
      <c r="P72" s="32">
        <v>0</v>
      </c>
      <c r="Q72" s="32">
        <v>0.2903</v>
      </c>
      <c r="R72" s="32">
        <v>0.70379999999999998</v>
      </c>
      <c r="S72" s="32">
        <v>0</v>
      </c>
      <c r="T72" s="32">
        <v>0</v>
      </c>
      <c r="U72" s="32">
        <v>0</v>
      </c>
      <c r="V72" s="32">
        <v>0</v>
      </c>
      <c r="W72" s="32">
        <v>0</v>
      </c>
      <c r="X72" s="32">
        <v>0</v>
      </c>
      <c r="Y72" s="33">
        <v>0</v>
      </c>
      <c r="Z72" s="33">
        <v>0</v>
      </c>
      <c r="AA72" s="39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</row>
    <row r="73" spans="1:34" ht="18" customHeight="1" x14ac:dyDescent="0.25">
      <c r="A73" s="26" t="s">
        <v>31</v>
      </c>
      <c r="B73" s="32">
        <v>0</v>
      </c>
      <c r="C73" s="32">
        <v>0</v>
      </c>
      <c r="D73" s="32">
        <v>0</v>
      </c>
      <c r="E73" s="32">
        <v>0</v>
      </c>
      <c r="F73" s="32">
        <v>0</v>
      </c>
      <c r="G73" s="32">
        <v>0</v>
      </c>
      <c r="H73" s="32">
        <v>0</v>
      </c>
      <c r="I73" s="32">
        <v>0</v>
      </c>
      <c r="J73" s="32">
        <v>0.02</v>
      </c>
      <c r="K73" s="32">
        <v>0</v>
      </c>
      <c r="L73" s="32">
        <v>0</v>
      </c>
      <c r="M73" s="32">
        <v>0</v>
      </c>
      <c r="N73" s="32">
        <v>0</v>
      </c>
      <c r="O73" s="32">
        <v>0</v>
      </c>
      <c r="P73" s="32">
        <v>1.7999999999999999E-2</v>
      </c>
      <c r="Q73" s="32">
        <v>0</v>
      </c>
      <c r="R73" s="32">
        <v>0.56599999999999995</v>
      </c>
      <c r="S73" s="32">
        <v>0.182</v>
      </c>
      <c r="T73" s="32">
        <v>0</v>
      </c>
      <c r="U73" s="32">
        <v>0</v>
      </c>
      <c r="V73" s="32">
        <v>0</v>
      </c>
      <c r="W73" s="32">
        <v>0</v>
      </c>
      <c r="X73" s="32">
        <v>0.214</v>
      </c>
      <c r="Y73" s="33">
        <v>0</v>
      </c>
      <c r="Z73" s="33">
        <v>0</v>
      </c>
      <c r="AA73" s="39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</row>
    <row r="74" spans="1:34" ht="18" customHeight="1" x14ac:dyDescent="0.25">
      <c r="A74" s="26" t="s">
        <v>32</v>
      </c>
      <c r="B74" s="32">
        <v>0</v>
      </c>
      <c r="C74" s="32">
        <v>0</v>
      </c>
      <c r="D74" s="32">
        <v>0</v>
      </c>
      <c r="E74" s="32">
        <v>0</v>
      </c>
      <c r="F74" s="32">
        <v>0</v>
      </c>
      <c r="G74" s="32">
        <v>0</v>
      </c>
      <c r="H74" s="32">
        <v>0</v>
      </c>
      <c r="I74" s="32">
        <v>0</v>
      </c>
      <c r="J74" s="32">
        <v>0</v>
      </c>
      <c r="K74" s="32">
        <v>0</v>
      </c>
      <c r="L74" s="32">
        <v>0</v>
      </c>
      <c r="M74" s="32">
        <v>0</v>
      </c>
      <c r="N74" s="32">
        <v>0</v>
      </c>
      <c r="O74" s="32">
        <v>0</v>
      </c>
      <c r="P74" s="32">
        <v>0</v>
      </c>
      <c r="Q74" s="32">
        <v>0</v>
      </c>
      <c r="R74" s="32">
        <v>0</v>
      </c>
      <c r="S74" s="32">
        <v>0</v>
      </c>
      <c r="T74" s="32">
        <v>0</v>
      </c>
      <c r="U74" s="32">
        <v>0</v>
      </c>
      <c r="V74" s="32">
        <v>0</v>
      </c>
      <c r="W74" s="32">
        <v>0.312</v>
      </c>
      <c r="X74" s="32">
        <v>0</v>
      </c>
      <c r="Y74" s="33">
        <v>0.68799999999999994</v>
      </c>
      <c r="Z74" s="33">
        <v>0</v>
      </c>
      <c r="AA74" s="39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</row>
    <row r="75" spans="1:34" ht="18" customHeight="1" x14ac:dyDescent="0.25">
      <c r="A75" s="26" t="s">
        <v>33</v>
      </c>
      <c r="B75" s="32">
        <v>0</v>
      </c>
      <c r="C75" s="32">
        <v>0</v>
      </c>
      <c r="D75" s="32">
        <v>0</v>
      </c>
      <c r="E75" s="32">
        <v>0</v>
      </c>
      <c r="F75" s="32">
        <v>0</v>
      </c>
      <c r="G75" s="32">
        <v>0</v>
      </c>
      <c r="H75" s="32">
        <v>0</v>
      </c>
      <c r="I75" s="32">
        <v>0</v>
      </c>
      <c r="J75" s="32">
        <v>0</v>
      </c>
      <c r="K75" s="32">
        <v>0</v>
      </c>
      <c r="L75" s="32">
        <v>0</v>
      </c>
      <c r="M75" s="32">
        <v>0</v>
      </c>
      <c r="N75" s="32">
        <v>0</v>
      </c>
      <c r="O75" s="32">
        <v>0</v>
      </c>
      <c r="P75" s="32">
        <v>0</v>
      </c>
      <c r="Q75" s="32">
        <v>0</v>
      </c>
      <c r="R75" s="32">
        <v>0</v>
      </c>
      <c r="S75" s="32">
        <v>0</v>
      </c>
      <c r="T75" s="32">
        <v>0</v>
      </c>
      <c r="U75" s="32">
        <v>0.39300000000000002</v>
      </c>
      <c r="V75" s="32">
        <v>0</v>
      </c>
      <c r="W75" s="32">
        <v>0</v>
      </c>
      <c r="X75" s="32">
        <v>0</v>
      </c>
      <c r="Y75" s="33">
        <v>0.60599999999999998</v>
      </c>
      <c r="Z75" s="33">
        <v>0</v>
      </c>
      <c r="AA75" s="39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</row>
    <row r="76" spans="1:34" ht="18" customHeight="1" x14ac:dyDescent="0.25">
      <c r="A76" s="26" t="s">
        <v>34</v>
      </c>
      <c r="B76" s="32">
        <v>0</v>
      </c>
      <c r="C76" s="32">
        <v>0</v>
      </c>
      <c r="D76" s="32">
        <v>0</v>
      </c>
      <c r="E76" s="32">
        <v>0</v>
      </c>
      <c r="F76" s="32">
        <v>0</v>
      </c>
      <c r="G76" s="32">
        <v>0</v>
      </c>
      <c r="H76" s="32">
        <v>0</v>
      </c>
      <c r="I76" s="32">
        <v>0</v>
      </c>
      <c r="J76" s="32">
        <v>0</v>
      </c>
      <c r="K76" s="32">
        <v>0</v>
      </c>
      <c r="L76" s="32">
        <v>0</v>
      </c>
      <c r="M76" s="32">
        <v>0</v>
      </c>
      <c r="N76" s="32">
        <v>0</v>
      </c>
      <c r="O76" s="32">
        <v>0</v>
      </c>
      <c r="P76" s="32">
        <v>0</v>
      </c>
      <c r="Q76" s="32">
        <v>0</v>
      </c>
      <c r="R76" s="32">
        <v>0.31</v>
      </c>
      <c r="S76" s="33">
        <v>0.19</v>
      </c>
      <c r="T76" s="32">
        <v>0</v>
      </c>
      <c r="U76" s="32">
        <v>0</v>
      </c>
      <c r="V76" s="32">
        <v>0</v>
      </c>
      <c r="W76" s="32">
        <v>0</v>
      </c>
      <c r="X76" s="33">
        <v>0.3</v>
      </c>
      <c r="Y76" s="33">
        <v>0.19</v>
      </c>
      <c r="Z76" s="33">
        <v>0</v>
      </c>
      <c r="AA76" s="39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</row>
    <row r="77" spans="1:34" ht="18" customHeight="1" x14ac:dyDescent="0.25">
      <c r="A77" s="26" t="s">
        <v>35</v>
      </c>
      <c r="B77" s="32">
        <v>0</v>
      </c>
      <c r="C77" s="32">
        <v>0</v>
      </c>
      <c r="D77" s="32">
        <v>0</v>
      </c>
      <c r="E77" s="32">
        <v>0</v>
      </c>
      <c r="F77" s="32">
        <v>0</v>
      </c>
      <c r="G77" s="32">
        <v>0</v>
      </c>
      <c r="H77" s="32">
        <v>0</v>
      </c>
      <c r="I77" s="32">
        <v>0</v>
      </c>
      <c r="J77" s="32">
        <v>0</v>
      </c>
      <c r="K77" s="32">
        <v>0</v>
      </c>
      <c r="L77" s="32">
        <v>0</v>
      </c>
      <c r="M77" s="32">
        <v>0</v>
      </c>
      <c r="N77" s="32">
        <v>7.4999999999999997E-2</v>
      </c>
      <c r="O77" s="32">
        <v>0</v>
      </c>
      <c r="P77" s="32">
        <v>0</v>
      </c>
      <c r="Q77" s="32">
        <v>0</v>
      </c>
      <c r="R77" s="32">
        <v>0</v>
      </c>
      <c r="S77" s="32">
        <v>0</v>
      </c>
      <c r="T77" s="32">
        <v>0</v>
      </c>
      <c r="U77" s="32">
        <v>0</v>
      </c>
      <c r="V77" s="32">
        <v>0</v>
      </c>
      <c r="W77" s="32">
        <v>0</v>
      </c>
      <c r="X77" s="32">
        <v>0</v>
      </c>
      <c r="Y77" s="33">
        <v>0.68500000000000005</v>
      </c>
      <c r="Z77" s="33">
        <v>0</v>
      </c>
      <c r="AA77" s="39">
        <v>0.22600000000000001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</row>
    <row r="79" spans="1:34" ht="27.95" customHeight="1" x14ac:dyDescent="0.25">
      <c r="A79" s="66" t="s">
        <v>163</v>
      </c>
      <c r="B79" s="61"/>
      <c r="C79" s="61"/>
      <c r="D79" s="61"/>
      <c r="E79" s="61"/>
    </row>
    <row r="80" spans="1:34" ht="27.95" customHeight="1" x14ac:dyDescent="0.25">
      <c r="A80" s="52" t="s">
        <v>70</v>
      </c>
      <c r="B80" s="52" t="s">
        <v>71</v>
      </c>
      <c r="C80" s="52" t="s">
        <v>72</v>
      </c>
      <c r="D80" s="52" t="s">
        <v>73</v>
      </c>
      <c r="E80" s="52" t="s">
        <v>74</v>
      </c>
    </row>
    <row r="81" spans="1:5" ht="20.100000000000001" customHeight="1" x14ac:dyDescent="0.25">
      <c r="A81" s="24" t="s">
        <v>38</v>
      </c>
      <c r="B81" s="30">
        <f>SUMPRODUCT(C44:C77,$B$6:$B$39)</f>
        <v>0</v>
      </c>
      <c r="C81" s="31">
        <v>0</v>
      </c>
      <c r="D81" s="27">
        <f t="shared" ref="D81:D112" si="0">IF(C81="Verificar","-",C81-B81)</f>
        <v>0</v>
      </c>
      <c r="E81" s="51" t="str">
        <f>IF(C81="Verificar","VERIFICAR",IF(D81&gt;=195,"OK - TEM ESTOQUE","COMPRAR!"))</f>
        <v>COMPRAR!</v>
      </c>
    </row>
    <row r="82" spans="1:5" ht="20.100000000000001" customHeight="1" x14ac:dyDescent="0.25">
      <c r="A82" s="24" t="s">
        <v>39</v>
      </c>
      <c r="B82" s="30">
        <f>SUMPRODUCT(D44:D77,$B$6:$B$39)</f>
        <v>0</v>
      </c>
      <c r="C82" s="31">
        <v>91</v>
      </c>
      <c r="D82" s="27">
        <f t="shared" si="0"/>
        <v>91</v>
      </c>
      <c r="E82" s="51" t="str">
        <f t="shared" ref="E82:E111" si="1">IF(C82="Verificar","VERIFICAR",IF(D82&gt;=0,"OK - TEM ESTOQUE","COMPRAR!"))</f>
        <v>OK - TEM ESTOQUE</v>
      </c>
    </row>
    <row r="83" spans="1:5" ht="20.100000000000001" customHeight="1" x14ac:dyDescent="0.25">
      <c r="A83" s="24" t="s">
        <v>40</v>
      </c>
      <c r="B83" s="30">
        <f>SUMPRODUCT(E44:E77,$B$6:$B$39)</f>
        <v>0</v>
      </c>
      <c r="C83" s="31">
        <v>0</v>
      </c>
      <c r="D83" s="27">
        <f t="shared" si="0"/>
        <v>0</v>
      </c>
      <c r="E83" s="51" t="str">
        <f>IF(C83="Verificar","VERIFICAR",IF(D83&gt;=500,"OK - TEM ESTOQUE","COMPRAR!"))</f>
        <v>COMPRAR!</v>
      </c>
    </row>
    <row r="84" spans="1:5" ht="20.100000000000001" customHeight="1" x14ac:dyDescent="0.25">
      <c r="A84" s="24" t="s">
        <v>41</v>
      </c>
      <c r="B84" s="30">
        <f>SUMPRODUCT(F44:F77,$B$6:$B$39)</f>
        <v>0</v>
      </c>
      <c r="C84" s="31">
        <v>1000</v>
      </c>
      <c r="D84" s="27">
        <f t="shared" si="0"/>
        <v>1000</v>
      </c>
      <c r="E84" s="51" t="str">
        <f>IF(C84="Verificar","VERIFICAR",IF(D84&gt;=700,"OK - TEM ESTOQUE","COMPRAR!"))</f>
        <v>OK - TEM ESTOQUE</v>
      </c>
    </row>
    <row r="85" spans="1:5" ht="20.100000000000001" customHeight="1" x14ac:dyDescent="0.25">
      <c r="A85" s="24" t="s">
        <v>42</v>
      </c>
      <c r="B85" s="30">
        <f>SUMPRODUCT(G44:G77,$B$6:$B$39)</f>
        <v>0</v>
      </c>
      <c r="C85" s="31">
        <f>IFERROR(VLOOKUP(A85,[1]RESUMO_MP!$A:$C,3,0),"Verificar")</f>
        <v>25</v>
      </c>
      <c r="D85" s="27">
        <f t="shared" si="0"/>
        <v>25</v>
      </c>
      <c r="E85" s="51" t="str">
        <f>IF(C85="Verificar","VERIFICAR",IF(D85&gt;=24,"OK - TEM ESTOQUE","COMPRAR!"))</f>
        <v>OK - TEM ESTOQUE</v>
      </c>
    </row>
    <row r="86" spans="1:5" ht="20.100000000000001" customHeight="1" x14ac:dyDescent="0.25">
      <c r="A86" s="24" t="s">
        <v>43</v>
      </c>
      <c r="B86" s="30">
        <f>SUMPRODUCT(H44:H77,$B$6:$B$39)</f>
        <v>0</v>
      </c>
      <c r="C86" s="31">
        <f>IFERROR(VLOOKUP(A86,[1]RESUMO_MP!$A:$C,3,0),"Verificar")</f>
        <v>27125</v>
      </c>
      <c r="D86" s="27">
        <f t="shared" si="0"/>
        <v>27125</v>
      </c>
      <c r="E86" s="51" t="str">
        <f>IF(C86="Verificar","VERIFICAR",IF(D86&gt;=5000,"OK - TEM ESTOQUE","COMPRAR!"))</f>
        <v>OK - TEM ESTOQUE</v>
      </c>
    </row>
    <row r="87" spans="1:5" ht="20.100000000000001" customHeight="1" x14ac:dyDescent="0.25">
      <c r="A87" s="45" t="s">
        <v>44</v>
      </c>
      <c r="B87" s="46">
        <f>SUMPRODUCT(I44:I77,$B$6:$B$39)</f>
        <v>0</v>
      </c>
      <c r="C87" s="47">
        <f>IFERROR(VLOOKUP(A87,[1]RESUMO_MP!$A:$C,3,0),"Verificar")</f>
        <v>30030</v>
      </c>
      <c r="D87" s="49">
        <f t="shared" si="0"/>
        <v>30030</v>
      </c>
      <c r="E87" s="51" t="str">
        <f t="shared" si="1"/>
        <v>OK - TEM ESTOQUE</v>
      </c>
    </row>
    <row r="88" spans="1:5" ht="20.100000000000001" customHeight="1" x14ac:dyDescent="0.25">
      <c r="A88" s="24" t="s">
        <v>45</v>
      </c>
      <c r="B88" s="30">
        <f>SUMPRODUCT(J44:J77,$B$6:$B$39)</f>
        <v>0</v>
      </c>
      <c r="C88" s="31">
        <f>IFERROR(VLOOKUP(A88,[1]RESUMO_MP!$A:$C,3,0),"Verificar")</f>
        <v>620</v>
      </c>
      <c r="D88" s="27">
        <f t="shared" si="0"/>
        <v>620</v>
      </c>
      <c r="E88" s="51" t="str">
        <f>IF(C88="Verificar","VERIFICAR",IF(D88&gt;=200,"OK - TEM ESTOQUE","COMPRAR!"))</f>
        <v>OK - TEM ESTOQUE</v>
      </c>
    </row>
    <row r="89" spans="1:5" ht="20.100000000000001" customHeight="1" x14ac:dyDescent="0.25">
      <c r="A89" s="24" t="s">
        <v>46</v>
      </c>
      <c r="B89" s="30">
        <f>SUMPRODUCT(K44:K77,$B$6:$B$39)</f>
        <v>0</v>
      </c>
      <c r="C89" s="31">
        <f>IFERROR(VLOOKUP(A89,[1]RESUMO_MP!$A:$C,3,0),"Verificar")</f>
        <v>0</v>
      </c>
      <c r="D89" s="27">
        <f t="shared" si="0"/>
        <v>0</v>
      </c>
      <c r="E89" s="51" t="str">
        <f>IF(C89="Verificar","VERIFICAR",IF(D89&gt;=700,"OK - TEM ESTOQUE","COMPRAR!"))</f>
        <v>COMPRAR!</v>
      </c>
    </row>
    <row r="90" spans="1:5" ht="20.100000000000001" customHeight="1" x14ac:dyDescent="0.25">
      <c r="A90" s="24" t="s">
        <v>47</v>
      </c>
      <c r="B90" s="30">
        <f>SUMPRODUCT(L44:L77,$B$6:$B$39)</f>
        <v>0</v>
      </c>
      <c r="C90" s="31">
        <f>IFERROR(VLOOKUP(A90,[1]RESUMO_MP!$A:$C,3,0),"Verificar")</f>
        <v>0</v>
      </c>
      <c r="D90" s="27">
        <f t="shared" si="0"/>
        <v>0</v>
      </c>
      <c r="E90" s="51" t="str">
        <f>IF(C90="Verificar","VERIFICAR",IF(D90&gt;=20,"OK - TEM ESTOQUE","COMPRAR!"))</f>
        <v>COMPRAR!</v>
      </c>
    </row>
    <row r="91" spans="1:5" ht="20.100000000000001" customHeight="1" x14ac:dyDescent="0.25">
      <c r="A91" s="24" t="s">
        <v>48</v>
      </c>
      <c r="B91" s="30">
        <f>SUMPRODUCT(M44:M77,$B$6:$B$39)</f>
        <v>0</v>
      </c>
      <c r="C91" s="31">
        <f>IFERROR(VLOOKUP(A91,[1]RESUMO_MP!$A:$C,3,0),"Verificar")</f>
        <v>220</v>
      </c>
      <c r="D91" s="27">
        <f t="shared" si="0"/>
        <v>220</v>
      </c>
      <c r="E91" s="51" t="str">
        <f>IF(C91="Verificar","VERIFICAR",IF(D91&gt;=600,"OK - TEM ESTOQUE","COMPRAR!"))</f>
        <v>COMPRAR!</v>
      </c>
    </row>
    <row r="92" spans="1:5" ht="20.100000000000001" customHeight="1" x14ac:dyDescent="0.25">
      <c r="A92" s="24" t="s">
        <v>49</v>
      </c>
      <c r="B92" s="30">
        <f>SUMPRODUCT(N44:N77,$B$6:$B$39)</f>
        <v>750</v>
      </c>
      <c r="C92" s="31">
        <f>IFERROR(VLOOKUP(A92,[1]RESUMO_MP!$A:$C,3,0),"Verificar")</f>
        <v>1000</v>
      </c>
      <c r="D92" s="27">
        <f t="shared" si="0"/>
        <v>250</v>
      </c>
      <c r="E92" s="51" t="str">
        <f>IF(C92="Verificar","VERIFICAR",IF(D92&gt;=7000,"OK - TEM ESTOQUE","COMPRAR!"))</f>
        <v>COMPRAR!</v>
      </c>
    </row>
    <row r="93" spans="1:5" ht="20.100000000000001" customHeight="1" x14ac:dyDescent="0.25">
      <c r="A93" s="24" t="s">
        <v>50</v>
      </c>
      <c r="B93" s="30">
        <f>SUMPRODUCT(O44:O77,$B$6:$B$39)</f>
        <v>0</v>
      </c>
      <c r="C93" s="31">
        <f>IFERROR(VLOOKUP(A93,[1]RESUMO_MP!$A:$C,3,0),"Verificar")</f>
        <v>3600</v>
      </c>
      <c r="D93" s="27">
        <f t="shared" si="0"/>
        <v>3600</v>
      </c>
      <c r="E93" s="51" t="str">
        <f>IF(C93="Verificar","VERIFICAR",IF(D93&gt;=2000,"OK - TEM ESTOQUE","COMPRAR!"))</f>
        <v>OK - TEM ESTOQUE</v>
      </c>
    </row>
    <row r="94" spans="1:5" ht="20.100000000000001" customHeight="1" x14ac:dyDescent="0.25">
      <c r="A94" s="24" t="s">
        <v>51</v>
      </c>
      <c r="B94" s="30">
        <f>SUMPRODUCT(P44:P77,$B$6:$B$39)</f>
        <v>640.08000000000004</v>
      </c>
      <c r="C94" s="31">
        <f>IFERROR(VLOOKUP(A94,[1]RESUMO_MP!$A:$C,3,0),"Verificar")</f>
        <v>4190</v>
      </c>
      <c r="D94" s="27">
        <f t="shared" si="0"/>
        <v>3549.92</v>
      </c>
      <c r="E94" s="51" t="str">
        <f>IF(C94="Verificar","VERIFICAR",IF(D94&gt;=3000,"OK - TEM ESTOQUE","COMPRAR!"))</f>
        <v>OK - TEM ESTOQUE</v>
      </c>
    </row>
    <row r="95" spans="1:5" ht="20.100000000000001" customHeight="1" x14ac:dyDescent="0.25">
      <c r="A95" s="24" t="s">
        <v>52</v>
      </c>
      <c r="B95" s="30">
        <f>SUMPRODUCT(Q44:Q77,$B$6:$B$39)</f>
        <v>2467.5500000000002</v>
      </c>
      <c r="C95" s="31">
        <f>IFERROR(VLOOKUP(A95,[1]RESUMO_MP!$A:$C,3,0),"Verificar")</f>
        <v>15279</v>
      </c>
      <c r="D95" s="27">
        <f t="shared" si="0"/>
        <v>12811.45</v>
      </c>
      <c r="E95" s="51" t="str">
        <f>IF(C95="Verificar","VERIFICAR",IF(D95&gt;=5000,"OK - TEM ESTOQUE","COMPRAR!"))</f>
        <v>OK - TEM ESTOQUE</v>
      </c>
    </row>
    <row r="96" spans="1:5" ht="20.100000000000001" customHeight="1" x14ac:dyDescent="0.25">
      <c r="A96" s="24" t="s">
        <v>53</v>
      </c>
      <c r="B96" s="30">
        <f>SUMPRODUCT(R44:R77,$B$6:$B$39)</f>
        <v>5982.3</v>
      </c>
      <c r="C96" s="31">
        <f>IFERROR(VLOOKUP(A96,[1]RESUMO_MP!$A:$C,3,0),"Verificar")</f>
        <v>52818</v>
      </c>
      <c r="D96" s="27">
        <f t="shared" si="0"/>
        <v>46835.7</v>
      </c>
      <c r="E96" s="51" t="str">
        <f>IF(C96="Verificar","VERIFICAR",IF(D96&gt;=15000,"OK - TEM ESTOQUE","COMPRAR!"))</f>
        <v>OK - TEM ESTOQUE</v>
      </c>
    </row>
    <row r="97" spans="1:5" ht="20.100000000000001" customHeight="1" x14ac:dyDescent="0.25">
      <c r="A97" s="24" t="s">
        <v>54</v>
      </c>
      <c r="B97" s="30">
        <f>SUMPRODUCT(S44:S77,$B$6:$B$39)</f>
        <v>0</v>
      </c>
      <c r="C97" s="31">
        <f>IFERROR(VLOOKUP(A97,[1]RESUMO_MP!$A:$C,3,0),"Verificar")</f>
        <v>11098</v>
      </c>
      <c r="D97" s="27">
        <f t="shared" si="0"/>
        <v>11098</v>
      </c>
      <c r="E97" s="51" t="str">
        <f>IF(C97="Verificar","VERIFICAR",IF(D97&gt;=7000,"OK - TEM ESTOQUE","COMPRAR!"))</f>
        <v>OK - TEM ESTOQUE</v>
      </c>
    </row>
    <row r="98" spans="1:5" ht="20.100000000000001" customHeight="1" x14ac:dyDescent="0.25">
      <c r="A98" s="24" t="s">
        <v>55</v>
      </c>
      <c r="B98" s="30">
        <f>SUMPRODUCT(T44:T77,$B$6:$B$39)</f>
        <v>0</v>
      </c>
      <c r="C98" s="31">
        <f>IFERROR(VLOOKUP(A98,[1]RESUMO_MP!$A:$C,3,0),"Verificar")</f>
        <v>4025</v>
      </c>
      <c r="D98" s="27">
        <f t="shared" si="0"/>
        <v>4025</v>
      </c>
      <c r="E98" s="51" t="str">
        <f>IF(C98="Verificar","VERIFICAR",IF(D98&gt;=4000,"OK - TEM ESTOQUE","COMPRAR!"))</f>
        <v>OK - TEM ESTOQUE</v>
      </c>
    </row>
    <row r="99" spans="1:5" ht="20.100000000000001" customHeight="1" x14ac:dyDescent="0.25">
      <c r="A99" s="24" t="s">
        <v>56</v>
      </c>
      <c r="B99" s="30">
        <f>SUMPRODUCT(U44:U77,$B$6:$B$39)</f>
        <v>3930</v>
      </c>
      <c r="C99" s="31">
        <f>IFERROR(VLOOKUP(A99,[1]RESUMO_MP!$A:$C,3,0),"Verificar")</f>
        <v>19160</v>
      </c>
      <c r="D99" s="27">
        <f t="shared" si="0"/>
        <v>15230</v>
      </c>
      <c r="E99" s="51" t="str">
        <f>IF(C99="Verificar","VERIFICAR",IF(D99&gt;=10000,"OK - TEM ESTOQUE","COMPRAR!"))</f>
        <v>OK - TEM ESTOQUE</v>
      </c>
    </row>
    <row r="100" spans="1:5" ht="20.100000000000001" customHeight="1" x14ac:dyDescent="0.25">
      <c r="A100" s="24" t="s">
        <v>57</v>
      </c>
      <c r="B100" s="30">
        <f>SUMPRODUCT(V44:V77,$B$6:$B$39)</f>
        <v>2440.08</v>
      </c>
      <c r="C100" s="31">
        <f>IFERROR(VLOOKUP(A100,[1]RESUMO_MP!$A:$C,3,0),"Verificar")</f>
        <v>22500</v>
      </c>
      <c r="D100" s="27">
        <f t="shared" si="0"/>
        <v>20059.919999999998</v>
      </c>
      <c r="E100" s="51" t="str">
        <f>IF(C100="Verificar","VERIFICAR",IF(D100&gt;=7000,"OK - TEM ESTOQUE","COMPRAR!"))</f>
        <v>OK - TEM ESTOQUE</v>
      </c>
    </row>
    <row r="101" spans="1:5" ht="20.100000000000001" customHeight="1" x14ac:dyDescent="0.25">
      <c r="A101" s="24" t="s">
        <v>58</v>
      </c>
      <c r="B101" s="30">
        <f>SUMPRODUCT(W44:W77,$B$6:$B$39)</f>
        <v>2652</v>
      </c>
      <c r="C101" s="31">
        <f>IFERROR(VLOOKUP(A101,[1]RESUMO_MP!$A:$C,3,0),"Verificar")</f>
        <v>25000</v>
      </c>
      <c r="D101" s="27">
        <f t="shared" si="0"/>
        <v>22348</v>
      </c>
      <c r="E101" s="51" t="str">
        <f>IF(C101="Verificar","VERIFICAR",IF(D101&gt;=7000,"OK - TEM ESTOQUE","COMPRAR!"))</f>
        <v>OK - TEM ESTOQUE</v>
      </c>
    </row>
    <row r="102" spans="1:5" ht="20.100000000000001" customHeight="1" x14ac:dyDescent="0.25">
      <c r="A102" s="24" t="s">
        <v>59</v>
      </c>
      <c r="B102" s="30">
        <f>SUMPRODUCT(X44:X77,$B$6:$B$39)</f>
        <v>0</v>
      </c>
      <c r="C102" s="31">
        <f>IFERROR(VLOOKUP(A102,[1]RESUMO_MP!$A:$C,3,0),"Verificar")</f>
        <v>53560</v>
      </c>
      <c r="D102" s="27">
        <f t="shared" si="0"/>
        <v>53560</v>
      </c>
      <c r="E102" s="51" t="str">
        <f>IF(C102="Verificar","VERIFICAR",IF(D102&gt;=20000,"OK - TEM ESTOQUE","COMPRAR!"))</f>
        <v>OK - TEM ESTOQUE</v>
      </c>
    </row>
    <row r="103" spans="1:5" ht="20.100000000000001" customHeight="1" x14ac:dyDescent="0.25">
      <c r="A103" s="35" t="s">
        <v>60</v>
      </c>
      <c r="B103" s="36">
        <f>SUMPRODUCT(Y44:Y77,$B$6:$B$39)</f>
        <v>19390.09</v>
      </c>
      <c r="C103" s="37">
        <f>IFERROR(VLOOKUP(A103,[1]RESUMO_MP!$A:$C,3,0),"Verificar")</f>
        <v>500000</v>
      </c>
      <c r="D103" s="38">
        <f t="shared" si="0"/>
        <v>480609.91</v>
      </c>
      <c r="E103" s="51" t="str">
        <f t="shared" si="1"/>
        <v>OK - TEM ESTOQUE</v>
      </c>
    </row>
    <row r="104" spans="1:5" ht="20.100000000000001" customHeight="1" x14ac:dyDescent="0.25">
      <c r="A104" s="35" t="s">
        <v>61</v>
      </c>
      <c r="B104" s="36">
        <f>SUMPRODUCT(Z44:Z77,$B$6:$B$39)</f>
        <v>0</v>
      </c>
      <c r="C104" s="37">
        <f>IFERROR(VLOOKUP(A104,[1]RESUMO_MP!$A:$C,3,0),"Verificar")</f>
        <v>7</v>
      </c>
      <c r="D104" s="38">
        <f t="shared" si="0"/>
        <v>7</v>
      </c>
      <c r="E104" s="51" t="str">
        <f t="shared" si="1"/>
        <v>OK - TEM ESTOQUE</v>
      </c>
    </row>
    <row r="105" spans="1:5" ht="20.100000000000001" customHeight="1" x14ac:dyDescent="0.25">
      <c r="A105" s="40" t="s">
        <v>62</v>
      </c>
      <c r="B105" s="41">
        <f>SUMPRODUCT(AA44:AA77,$B$6:$B$39)</f>
        <v>2260</v>
      </c>
      <c r="C105" s="42">
        <f>IFERROR(VLOOKUP(A105,[1]RESUMO_MP!$A:$C,3,0),"Verificar")</f>
        <v>0</v>
      </c>
      <c r="D105" s="43">
        <f t="shared" si="0"/>
        <v>-2260</v>
      </c>
      <c r="E105" s="51" t="str">
        <f>IF(C105="Verificar","VERIFICAR",IF(D105&gt;=1,"OK - TEM ESTOQUE","PRODUZIR!"))</f>
        <v>PRODUZIR!</v>
      </c>
    </row>
    <row r="106" spans="1:5" ht="20.100000000000001" customHeight="1" x14ac:dyDescent="0.25">
      <c r="A106" s="45" t="s">
        <v>63</v>
      </c>
      <c r="B106" s="46">
        <f>SUMPRODUCT(AB44:AB77,$B$6:$B$39)</f>
        <v>0</v>
      </c>
      <c r="C106" s="47">
        <f>IFERROR(VLOOKUP(A106,[1]RESUMO_MP!$A:$C,3,0),"Verificar")</f>
        <v>550</v>
      </c>
      <c r="D106" s="48">
        <f t="shared" si="0"/>
        <v>550</v>
      </c>
      <c r="E106" s="51" t="str">
        <f t="shared" si="1"/>
        <v>OK - TEM ESTOQUE</v>
      </c>
    </row>
    <row r="107" spans="1:5" ht="20.100000000000001" customHeight="1" x14ac:dyDescent="0.25">
      <c r="A107" s="45" t="s">
        <v>64</v>
      </c>
      <c r="B107" s="46">
        <f>SUMPRODUCT(AC44:AC77,$B$6:$B$39)</f>
        <v>0</v>
      </c>
      <c r="C107" s="47">
        <f>IFERROR(VLOOKUP(A107,[1]RESUMO_MP!$A:$C,3,0),"Verificar")</f>
        <v>240</v>
      </c>
      <c r="D107" s="48">
        <f t="shared" si="0"/>
        <v>240</v>
      </c>
      <c r="E107" s="51" t="str">
        <f t="shared" si="1"/>
        <v>OK - TEM ESTOQUE</v>
      </c>
    </row>
    <row r="108" spans="1:5" ht="20.100000000000001" customHeight="1" x14ac:dyDescent="0.25">
      <c r="A108" s="45" t="s">
        <v>65</v>
      </c>
      <c r="B108" s="46">
        <f>SUMPRODUCT(AD44:AD77,$B$6:$B$39)</f>
        <v>0</v>
      </c>
      <c r="C108" s="47">
        <f>IFERROR(VLOOKUP(A108,[1]RESUMO_MP!$A:$C,3,0),"Verificar")</f>
        <v>70000</v>
      </c>
      <c r="D108" s="48">
        <f t="shared" si="0"/>
        <v>70000</v>
      </c>
      <c r="E108" s="51" t="str">
        <f t="shared" si="1"/>
        <v>OK - TEM ESTOQUE</v>
      </c>
    </row>
    <row r="109" spans="1:5" ht="20.100000000000001" customHeight="1" x14ac:dyDescent="0.25">
      <c r="A109" s="45" t="s">
        <v>66</v>
      </c>
      <c r="B109" s="46">
        <f>SUMPRODUCT(AE44:AE77,$B$6:$B$39)</f>
        <v>0</v>
      </c>
      <c r="C109" s="47">
        <f>IFERROR(VLOOKUP(A109,[1]RESUMO_MP!$A:$C,3,0),"Verificar")</f>
        <v>83</v>
      </c>
      <c r="D109" s="48">
        <f t="shared" si="0"/>
        <v>83</v>
      </c>
      <c r="E109" s="51" t="str">
        <f t="shared" si="1"/>
        <v>OK - TEM ESTOQUE</v>
      </c>
    </row>
    <row r="110" spans="1:5" ht="20.100000000000001" customHeight="1" x14ac:dyDescent="0.25">
      <c r="A110" s="45" t="s">
        <v>67</v>
      </c>
      <c r="B110" s="46">
        <f>SUMPRODUCT(AF44:AF77,$B$6:$B$39)</f>
        <v>0</v>
      </c>
      <c r="C110" s="47">
        <f>IFERROR(VLOOKUP(A110,[1]RESUMO_MP!$A:$C,3,0),"Verificar")</f>
        <v>0</v>
      </c>
      <c r="D110" s="48">
        <f t="shared" si="0"/>
        <v>0</v>
      </c>
      <c r="E110" s="51" t="str">
        <f>IF(C110="Verificar","VERIFICAR",IF(D110&gt;=1,"OK - TEM ESTOQUE","COMPRAR!"))</f>
        <v>COMPRAR!</v>
      </c>
    </row>
    <row r="111" spans="1:5" ht="20.100000000000001" customHeight="1" x14ac:dyDescent="0.25">
      <c r="A111" s="55" t="s">
        <v>68</v>
      </c>
      <c r="B111" s="46">
        <f>SUMPRODUCT(AG44:AG77,$B$6:$B$39)</f>
        <v>0</v>
      </c>
      <c r="C111" s="47">
        <f>IFERROR(VLOOKUP(A111,[1]RESUMO_MP!$A:$C,3,0),"Verificar")</f>
        <v>13200</v>
      </c>
      <c r="D111" s="48">
        <f t="shared" si="0"/>
        <v>13200</v>
      </c>
      <c r="E111" s="51" t="str">
        <f t="shared" si="1"/>
        <v>OK - TEM ESTOQUE</v>
      </c>
    </row>
    <row r="112" spans="1:5" ht="20.100000000000001" customHeight="1" x14ac:dyDescent="0.25">
      <c r="A112" s="45" t="s">
        <v>69</v>
      </c>
      <c r="B112" s="46">
        <f>SUMPRODUCT(AH44:AH77,$B$6:$B$39)</f>
        <v>3848.5</v>
      </c>
      <c r="C112" s="47">
        <f>IFERROR(VLOOKUP(A112,[1]RESUMO_MP!$A:$C,3,0),"Verificar")</f>
        <v>18320</v>
      </c>
      <c r="D112" s="48">
        <f t="shared" si="0"/>
        <v>14471.5</v>
      </c>
      <c r="E112" s="51" t="str">
        <f>IF(C112="Verificar","VERIFICAR",IF(D112&gt;=5000,"OK - TEM ESTOQUE","PRODUZIR!"))</f>
        <v>OK - TEM ESTOQUE</v>
      </c>
    </row>
    <row r="115" spans="1:5" ht="35.1" customHeight="1" x14ac:dyDescent="0.25">
      <c r="A115" s="65"/>
      <c r="B115" s="64"/>
      <c r="C115" s="64"/>
      <c r="D115" s="64"/>
      <c r="E115" s="64"/>
    </row>
  </sheetData>
  <mergeCells count="6">
    <mergeCell ref="A1:N1"/>
    <mergeCell ref="A4:B4"/>
    <mergeCell ref="A2:N2"/>
    <mergeCell ref="A115:E115"/>
    <mergeCell ref="A79:E79"/>
    <mergeCell ref="A42:P42"/>
  </mergeCells>
  <conditionalFormatting sqref="E81:E112">
    <cfRule type="containsText" dxfId="3" priority="1" operator="containsText" text="PRODUZIR!">
      <formula>NOT(ISERROR(SEARCH("PRODUZIR!",E81)))</formula>
    </cfRule>
    <cfRule type="containsText" dxfId="2" priority="2" operator="containsText" text="COMPRAR!">
      <formula>NOT(ISERROR(SEARCH("COMPRAR!",E81)))</formula>
    </cfRule>
  </conditionalFormatting>
  <pageMargins left="0.75" right="0.75" top="1" bottom="1" header="0.5" footer="0.5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C7C0A-06B1-4DF8-9E2E-1850AD361DA9}">
  <dimension ref="A1:F78"/>
  <sheetViews>
    <sheetView showGridLines="0" workbookViewId="0">
      <selection activeCell="B5" sqref="B5"/>
    </sheetView>
  </sheetViews>
  <sheetFormatPr defaultRowHeight="15" x14ac:dyDescent="0.25"/>
  <cols>
    <col min="1" max="1" width="46" customWidth="1"/>
    <col min="2" max="2" width="22.140625" bestFit="1" customWidth="1"/>
    <col min="3" max="3" width="16" customWidth="1"/>
    <col min="4" max="4" width="19.5703125" customWidth="1"/>
    <col min="5" max="5" width="24.5703125" customWidth="1"/>
    <col min="6" max="6" width="23.140625" customWidth="1"/>
  </cols>
  <sheetData>
    <row r="1" spans="1:6" ht="18.75" x14ac:dyDescent="0.25">
      <c r="A1" s="60" t="s">
        <v>169</v>
      </c>
      <c r="B1" s="64"/>
      <c r="C1" s="64"/>
      <c r="D1" s="64"/>
      <c r="E1" s="64"/>
      <c r="F1" s="64"/>
    </row>
    <row r="3" spans="1:6" x14ac:dyDescent="0.25">
      <c r="A3" s="62" t="s">
        <v>193</v>
      </c>
      <c r="B3" s="64"/>
      <c r="C3" s="64"/>
      <c r="D3" s="64"/>
      <c r="E3" s="64"/>
    </row>
    <row r="4" spans="1:6" x14ac:dyDescent="0.25">
      <c r="A4" s="28" t="s">
        <v>194</v>
      </c>
      <c r="B4" s="25">
        <v>24</v>
      </c>
    </row>
    <row r="5" spans="1:6" x14ac:dyDescent="0.25">
      <c r="A5" s="28" t="s">
        <v>195</v>
      </c>
      <c r="B5" s="25">
        <v>4</v>
      </c>
    </row>
    <row r="6" spans="1:6" x14ac:dyDescent="0.25">
      <c r="A6" s="28" t="s">
        <v>170</v>
      </c>
      <c r="B6" s="58">
        <f>B4*B5</f>
        <v>96</v>
      </c>
    </row>
    <row r="8" spans="1:6" x14ac:dyDescent="0.25">
      <c r="A8" s="62" t="s">
        <v>171</v>
      </c>
      <c r="B8" s="64"/>
      <c r="C8" s="64"/>
      <c r="D8" s="64"/>
      <c r="E8" s="64"/>
    </row>
    <row r="9" spans="1:6" x14ac:dyDescent="0.25">
      <c r="A9" s="54" t="s">
        <v>0</v>
      </c>
      <c r="B9" s="54" t="s">
        <v>1</v>
      </c>
      <c r="C9" s="54" t="s">
        <v>172</v>
      </c>
      <c r="D9" s="54" t="s">
        <v>173</v>
      </c>
      <c r="E9" s="54" t="s">
        <v>174</v>
      </c>
    </row>
    <row r="10" spans="1:6" x14ac:dyDescent="0.25">
      <c r="A10" s="24" t="str">
        <f>MRP!A37</f>
        <v>Avanless 27</v>
      </c>
      <c r="B10" s="25">
        <f>MRP!B37</f>
        <v>10000</v>
      </c>
      <c r="C10" s="32">
        <f>IFERROR(AVERAGEIF(Registro_Produção!$B:$B,A10,Registro_Produção!$K:$K),"Sem dados")</f>
        <v>0.16663461538461538</v>
      </c>
      <c r="D10" s="25">
        <f>SUMPRODUCT((Registro_Produção!$B$2:$B$2071=A10)*(ISNUMBER(Registro_Produção!$K$2:$K$2071)))</f>
        <v>5</v>
      </c>
      <c r="E10" s="57">
        <f>IF(ISTEXT(C10),0,(C10*B10)/60)</f>
        <v>27.772435897435898</v>
      </c>
    </row>
    <row r="11" spans="1:6" x14ac:dyDescent="0.25">
      <c r="A11" s="28" t="s">
        <v>175</v>
      </c>
      <c r="E11" s="58">
        <f>SUM(E10:E10)</f>
        <v>27.772435897435898</v>
      </c>
    </row>
    <row r="12" spans="1:6" x14ac:dyDescent="0.25">
      <c r="A12" s="28" t="s">
        <v>176</v>
      </c>
      <c r="B12" s="58">
        <f>$B$6</f>
        <v>96</v>
      </c>
    </row>
    <row r="13" spans="1:6" x14ac:dyDescent="0.25">
      <c r="A13" s="28" t="s">
        <v>177</v>
      </c>
      <c r="B13" s="58">
        <f>B12-E11</f>
        <v>68.227564102564102</v>
      </c>
    </row>
    <row r="14" spans="1:6" x14ac:dyDescent="0.25">
      <c r="A14" s="28" t="s">
        <v>74</v>
      </c>
      <c r="B14" s="59" t="str">
        <f>IF(B13&gt;=0,"CABE NA CAPACIDADE","ESTOURA! FALTAM "&amp;TEXT(ABS(B13),"0.0")&amp;" HORAS")</f>
        <v>CABE NA CAPACIDADE</v>
      </c>
    </row>
    <row r="16" spans="1:6" x14ac:dyDescent="0.25">
      <c r="A16" s="62" t="s">
        <v>196</v>
      </c>
      <c r="B16" s="64"/>
      <c r="C16" s="64"/>
      <c r="D16" s="64"/>
      <c r="E16" s="64"/>
      <c r="F16" s="64"/>
    </row>
    <row r="17" spans="1:6" x14ac:dyDescent="0.25">
      <c r="A17" s="54" t="s">
        <v>0</v>
      </c>
      <c r="B17" s="54" t="s">
        <v>1</v>
      </c>
      <c r="C17" s="54" t="s">
        <v>172</v>
      </c>
      <c r="D17" s="54" t="s">
        <v>173</v>
      </c>
      <c r="E17" s="54" t="s">
        <v>174</v>
      </c>
      <c r="F17" s="54" t="s">
        <v>197</v>
      </c>
    </row>
    <row r="18" spans="1:6" x14ac:dyDescent="0.25">
      <c r="A18" s="24" t="str">
        <f>MRP!A30</f>
        <v>Avamid-6 22-24 (amida 60)</v>
      </c>
      <c r="B18" s="25">
        <f>MRP!B30</f>
        <v>0</v>
      </c>
      <c r="C18" s="32">
        <f>IFERROR(AVERAGEIF(Registro_Produção!$B:$B,A18,Registro_Produção!$K:$K),"Sem dados")</f>
        <v>0.17540106951871659</v>
      </c>
      <c r="D18" s="25">
        <f>SUMPRODUCT((Registro_Produção!$B$2:$B$2071=A18)*(ISNUMBER(Registro_Produção!$K$2:$K$2071)))</f>
        <v>1</v>
      </c>
      <c r="E18" s="57">
        <f t="shared" ref="E18:E23" si="0">IF(ISTEXT(C18),0,(C18*B18)/60)</f>
        <v>0</v>
      </c>
      <c r="F18" s="25" t="s">
        <v>198</v>
      </c>
    </row>
    <row r="19" spans="1:6" x14ac:dyDescent="0.25">
      <c r="A19" s="24" t="str">
        <f>MRP!A35</f>
        <v>Avamid-9 (amida 90)</v>
      </c>
      <c r="B19" s="25">
        <f>MRP!B35</f>
        <v>0</v>
      </c>
      <c r="C19" s="32">
        <f>IFERROR(AVERAGEIF(Registro_Produção!$B:$B,A19,Registro_Produção!$K:$K),"Sem dados")</f>
        <v>0.18149999999999999</v>
      </c>
      <c r="D19" s="25">
        <f>SUMPRODUCT((Registro_Produção!$B$2:$B$2071=A19)*(ISNUMBER(Registro_Produção!$K$2:$K$2071)))</f>
        <v>1</v>
      </c>
      <c r="E19" s="57">
        <f t="shared" si="0"/>
        <v>0</v>
      </c>
      <c r="F19" s="25" t="s">
        <v>198</v>
      </c>
    </row>
    <row r="20" spans="1:6" x14ac:dyDescent="0.25">
      <c r="A20" s="24" t="str">
        <f>MRP!A38</f>
        <v>Avamid-6 18-22(amida 60)</v>
      </c>
      <c r="B20" s="25">
        <f>MRP!B38</f>
        <v>0</v>
      </c>
      <c r="C20" s="32">
        <f>IFERROR(AVERAGEIF(Registro_Produção!$B:$B,A20,Registro_Produção!$K:$K),"Sem dados")</f>
        <v>0.15174000000000001</v>
      </c>
      <c r="D20" s="25">
        <f>SUMPRODUCT((Registro_Produção!$B$2:$B$2071=A20)*(ISNUMBER(Registro_Produção!$K$2:$K$2071)))</f>
        <v>5</v>
      </c>
      <c r="E20" s="57">
        <f t="shared" si="0"/>
        <v>0</v>
      </c>
      <c r="F20" s="25" t="s">
        <v>198</v>
      </c>
    </row>
    <row r="21" spans="1:6" x14ac:dyDescent="0.25">
      <c r="A21" s="24" t="str">
        <f>MRP!A39</f>
        <v>Avanbeta-30</v>
      </c>
      <c r="B21" s="25">
        <f>MRP!B39</f>
        <v>10000</v>
      </c>
      <c r="C21" s="32">
        <f>IFERROR(AVERAGEIF(Registro_Produção!$B:$B,A21,Registro_Produção!$K:$K),"Sem dados")</f>
        <v>0.1810583380587141</v>
      </c>
      <c r="D21" s="25">
        <f>SUMPRODUCT((Registro_Produção!$B$2:$B$2071=A21)*(ISNUMBER(Registro_Produção!$K$2:$K$2071)))</f>
        <v>9</v>
      </c>
      <c r="E21" s="57">
        <f t="shared" si="0"/>
        <v>30.176389676452349</v>
      </c>
      <c r="F21" s="25" t="s">
        <v>199</v>
      </c>
    </row>
    <row r="22" spans="1:6" x14ac:dyDescent="0.25">
      <c r="A22" s="24" t="str">
        <f>MRP!A34</f>
        <v>Base de betaina1</v>
      </c>
      <c r="B22" s="25">
        <f>MRP!B34</f>
        <v>8500</v>
      </c>
      <c r="C22" s="32">
        <f>IFERROR(AVERAGEIF(Registro_Produção!$B:$B,A22,Registro_Produção!$K:$K),"Sem dados")</f>
        <v>0.18582352941176472</v>
      </c>
      <c r="D22" s="25">
        <f>SUMPRODUCT((Registro_Produção!$B$2:$B$2071=A22)*(ISNUMBER(Registro_Produção!$K$2:$K$2071)))</f>
        <v>2</v>
      </c>
      <c r="E22" s="57">
        <f t="shared" si="0"/>
        <v>26.325000000000003</v>
      </c>
      <c r="F22" s="25" t="s">
        <v>199</v>
      </c>
    </row>
    <row r="23" spans="1:6" x14ac:dyDescent="0.25">
      <c r="A23" s="24" t="str">
        <f>MRP!A23</f>
        <v>rcn</v>
      </c>
      <c r="B23" s="25">
        <f>MRP!B23</f>
        <v>0</v>
      </c>
      <c r="C23" s="32">
        <f>IFERROR(AVERAGEIF(Registro_Produção!$B:$B,A23,Registro_Produção!$K:$K),"Sem dados")</f>
        <v>0.17939655172413793</v>
      </c>
      <c r="D23" s="25">
        <f>SUMPRODUCT((Registro_Produção!$B$2:$B$2071=A23)*(ISNUMBER(Registro_Produção!$K$2:$K$2071)))</f>
        <v>1</v>
      </c>
      <c r="E23" s="57">
        <f t="shared" si="0"/>
        <v>0</v>
      </c>
      <c r="F23" s="25" t="s">
        <v>198</v>
      </c>
    </row>
    <row r="24" spans="1:6" x14ac:dyDescent="0.25">
      <c r="A24" s="28" t="s">
        <v>200</v>
      </c>
      <c r="E24" s="58">
        <f>SUM(E18:E23)</f>
        <v>56.501389676452348</v>
      </c>
    </row>
    <row r="25" spans="1:6" x14ac:dyDescent="0.25">
      <c r="A25" s="28" t="s">
        <v>201</v>
      </c>
      <c r="B25" s="58">
        <f>SUMIF(F18:F23,"Reator 2",E18:E23)</f>
        <v>0</v>
      </c>
    </row>
    <row r="26" spans="1:6" x14ac:dyDescent="0.25">
      <c r="A26" s="28" t="s">
        <v>176</v>
      </c>
      <c r="B26" s="58">
        <f>$B$6</f>
        <v>96</v>
      </c>
    </row>
    <row r="27" spans="1:6" x14ac:dyDescent="0.25">
      <c r="A27" s="28" t="s">
        <v>177</v>
      </c>
      <c r="B27" s="58">
        <f>B26-B25</f>
        <v>96</v>
      </c>
    </row>
    <row r="28" spans="1:6" x14ac:dyDescent="0.25">
      <c r="A28" s="28" t="s">
        <v>202</v>
      </c>
      <c r="B28" s="59" t="str">
        <f>IF(B27&gt;=0,"CABE NA CAPACIDADE","ESTOURA! FALTAM "&amp;TEXT(ABS(B27),"0.0")&amp;" HORAS")</f>
        <v>CABE NA CAPACIDADE</v>
      </c>
    </row>
    <row r="30" spans="1:6" x14ac:dyDescent="0.25">
      <c r="A30" s="28" t="s">
        <v>203</v>
      </c>
      <c r="B30" s="58">
        <f>SUMIF(F18:F23,"Reator 3",E18:E23)</f>
        <v>56.501389676452348</v>
      </c>
    </row>
    <row r="31" spans="1:6" x14ac:dyDescent="0.25">
      <c r="A31" s="28" t="s">
        <v>176</v>
      </c>
      <c r="B31" s="58">
        <f>$B$6</f>
        <v>96</v>
      </c>
    </row>
    <row r="32" spans="1:6" x14ac:dyDescent="0.25">
      <c r="A32" s="28" t="s">
        <v>177</v>
      </c>
      <c r="B32" s="58">
        <f>B31-B30</f>
        <v>39.498610323547652</v>
      </c>
    </row>
    <row r="33" spans="1:5" x14ac:dyDescent="0.25">
      <c r="A33" s="28" t="s">
        <v>204</v>
      </c>
      <c r="B33" s="59" t="str">
        <f>IF(B32&gt;=0,"CABE NA CAPACIDADE","ESTOURA! FALTAM "&amp;TEXT(ABS(B32),"0.0")&amp;" HORAS")</f>
        <v>CABE NA CAPACIDADE</v>
      </c>
    </row>
    <row r="35" spans="1:5" x14ac:dyDescent="0.25">
      <c r="A35" s="62" t="s">
        <v>178</v>
      </c>
      <c r="B35" s="64"/>
      <c r="C35" s="64"/>
      <c r="D35" s="64"/>
      <c r="E35" s="64"/>
    </row>
    <row r="36" spans="1:5" x14ac:dyDescent="0.25">
      <c r="A36" s="54" t="s">
        <v>0</v>
      </c>
      <c r="B36" s="54" t="s">
        <v>1</v>
      </c>
      <c r="C36" s="54" t="s">
        <v>172</v>
      </c>
      <c r="D36" s="54" t="s">
        <v>173</v>
      </c>
      <c r="E36" s="54" t="s">
        <v>174</v>
      </c>
    </row>
    <row r="37" spans="1:5" x14ac:dyDescent="0.25">
      <c r="A37" s="24" t="str">
        <f>MRP!A32</f>
        <v>Hidroxido de potassio solução</v>
      </c>
      <c r="B37" s="25">
        <f>MRP!B32</f>
        <v>0</v>
      </c>
      <c r="C37" s="32">
        <f>IFERROR(AVERAGEIF(Registro_Produção!$B:$B,A37,Registro_Produção!$K:$K),"Sem dados")</f>
        <v>0.81566666666666665</v>
      </c>
      <c r="D37" s="25">
        <f>SUMPRODUCT((Registro_Produção!$B$2:$B$2071=A37)*(ISNUMBER(Registro_Produção!$K$2:$K$2071)))</f>
        <v>1</v>
      </c>
      <c r="E37" s="57">
        <f>IF(ISTEXT(C37),0,(C37*B37)/60)</f>
        <v>0</v>
      </c>
    </row>
    <row r="38" spans="1:5" x14ac:dyDescent="0.25">
      <c r="A38" s="28" t="s">
        <v>175</v>
      </c>
      <c r="E38" s="58">
        <f>SUM(E37:E37)</f>
        <v>0</v>
      </c>
    </row>
    <row r="39" spans="1:5" x14ac:dyDescent="0.25">
      <c r="A39" s="28" t="s">
        <v>176</v>
      </c>
      <c r="B39" s="58">
        <f>$B$6</f>
        <v>96</v>
      </c>
    </row>
    <row r="40" spans="1:5" x14ac:dyDescent="0.25">
      <c r="A40" s="28" t="s">
        <v>177</v>
      </c>
      <c r="B40" s="58">
        <f>B39-E38</f>
        <v>96</v>
      </c>
    </row>
    <row r="41" spans="1:5" x14ac:dyDescent="0.25">
      <c r="A41" s="28" t="s">
        <v>74</v>
      </c>
      <c r="B41" s="59" t="str">
        <f>IF(B40&gt;=0,"CABE NA CAPACIDADE","ESTOURA! FALTAM "&amp;TEXT(ABS(B40),"0.0")&amp;" HORAS")</f>
        <v>CABE NA CAPACIDADE</v>
      </c>
    </row>
    <row r="43" spans="1:5" x14ac:dyDescent="0.25">
      <c r="A43" s="62" t="s">
        <v>179</v>
      </c>
      <c r="B43" s="64"/>
      <c r="C43" s="64"/>
      <c r="D43" s="64"/>
      <c r="E43" s="64"/>
    </row>
    <row r="44" spans="1:5" x14ac:dyDescent="0.25">
      <c r="A44" s="54" t="s">
        <v>0</v>
      </c>
      <c r="B44" s="54" t="s">
        <v>1</v>
      </c>
      <c r="C44" s="54" t="s">
        <v>172</v>
      </c>
      <c r="D44" s="54" t="s">
        <v>173</v>
      </c>
      <c r="E44" s="54" t="s">
        <v>174</v>
      </c>
    </row>
    <row r="45" spans="1:5" x14ac:dyDescent="0.25">
      <c r="A45" s="24" t="str">
        <f>MRP!A6</f>
        <v>avanfloc 18</v>
      </c>
      <c r="B45" s="25">
        <f>MRP!B6</f>
        <v>0</v>
      </c>
      <c r="C45" s="32" t="str">
        <f>IFERROR(AVERAGEIF(Registro_Produção!$B:$B,A45,Registro_Produção!$K:$K),"Sem dados")</f>
        <v>Sem dados</v>
      </c>
      <c r="D45" s="25">
        <f>SUMPRODUCT((Registro_Produção!$B$2:$B$2071=A45)*(ISNUMBER(Registro_Produção!$K$2:$K$2071)))</f>
        <v>0</v>
      </c>
      <c r="E45" s="57">
        <f t="shared" ref="E45:E70" si="1">IF(ISTEXT(C45),0,(C45*B45)/60)</f>
        <v>0</v>
      </c>
    </row>
    <row r="46" spans="1:5" x14ac:dyDescent="0.25">
      <c r="A46" s="24" t="str">
        <f>MRP!A7</f>
        <v>clorito solução</v>
      </c>
      <c r="B46" s="25">
        <f>MRP!B7</f>
        <v>1200</v>
      </c>
      <c r="C46" s="32">
        <f>IFERROR(AVERAGEIF(Registro_Produção!$B:$B,A46,Registro_Produção!$K:$K),"Sem dados")</f>
        <v>2.8333333333333332E-2</v>
      </c>
      <c r="D46" s="25">
        <f>SUMPRODUCT((Registro_Produção!$B$2:$B$2071=A46)*(ISNUMBER(Registro_Produção!$K$2:$K$2071)))</f>
        <v>1</v>
      </c>
      <c r="E46" s="57">
        <f t="shared" si="1"/>
        <v>0.56666666666666665</v>
      </c>
    </row>
    <row r="47" spans="1:5" x14ac:dyDescent="0.25">
      <c r="A47" s="24" t="str">
        <f>MRP!A8</f>
        <v>solupan</v>
      </c>
      <c r="B47" s="25">
        <f>MRP!B8</f>
        <v>0</v>
      </c>
      <c r="C47" s="32" t="str">
        <f>IFERROR(AVERAGEIF(Registro_Produção!$B:$B,A47,Registro_Produção!$K:$K),"Sem dados")</f>
        <v>Sem dados</v>
      </c>
      <c r="D47" s="25">
        <f>SUMPRODUCT((Registro_Produção!$B$2:$B$2071=A47)*(ISNUMBER(Registro_Produção!$K$2:$K$2071)))</f>
        <v>0</v>
      </c>
      <c r="E47" s="57">
        <f t="shared" si="1"/>
        <v>0</v>
      </c>
    </row>
    <row r="48" spans="1:5" x14ac:dyDescent="0.25">
      <c r="A48" s="24" t="str">
        <f>MRP!A9</f>
        <v>C 120</v>
      </c>
      <c r="B48" s="25">
        <f>MRP!B9</f>
        <v>0</v>
      </c>
      <c r="C48" s="32">
        <f>IFERROR(AVERAGEIF(Registro_Produção!$B:$B,A48,Registro_Produção!$K:$K),"Sem dados")</f>
        <v>4.03</v>
      </c>
      <c r="D48" s="25">
        <f>SUMPRODUCT((Registro_Produção!$B$2:$B$2071=A48)*(ISNUMBER(Registro_Produção!$K$2:$K$2071)))</f>
        <v>1</v>
      </c>
      <c r="E48" s="57">
        <f t="shared" si="1"/>
        <v>0</v>
      </c>
    </row>
    <row r="49" spans="1:5" x14ac:dyDescent="0.25">
      <c r="A49" s="24" t="str">
        <f>MRP!A10</f>
        <v>LPB</v>
      </c>
      <c r="B49" s="25">
        <f>MRP!B10</f>
        <v>0</v>
      </c>
      <c r="C49" s="32">
        <f>IFERROR(AVERAGEIF(Registro_Produção!$B:$B,A49,Registro_Produção!$K:$K),"Sem dados")</f>
        <v>0.128</v>
      </c>
      <c r="D49" s="25">
        <f>SUMPRODUCT((Registro_Produção!$B$2:$B$2071=A49)*(ISNUMBER(Registro_Produção!$K$2:$K$2071)))</f>
        <v>1</v>
      </c>
      <c r="E49" s="57">
        <f t="shared" si="1"/>
        <v>0</v>
      </c>
    </row>
    <row r="50" spans="1:5" x14ac:dyDescent="0.25">
      <c r="A50" s="24" t="str">
        <f>MRP!A11</f>
        <v>redutor de ph</v>
      </c>
      <c r="B50" s="25">
        <f>MRP!B11</f>
        <v>0</v>
      </c>
      <c r="C50" s="32" t="str">
        <f>IFERROR(AVERAGEIF(Registro_Produção!$B:$B,A50,Registro_Produção!$K:$K),"Sem dados")</f>
        <v>Sem dados</v>
      </c>
      <c r="D50" s="25">
        <f>SUMPRODUCT((Registro_Produção!$B$2:$B$2071=A50)*(ISNUMBER(Registro_Produção!$K$2:$K$2071)))</f>
        <v>0</v>
      </c>
      <c r="E50" s="57">
        <f t="shared" si="1"/>
        <v>0</v>
      </c>
    </row>
    <row r="51" spans="1:5" x14ac:dyDescent="0.25">
      <c r="A51" s="24" t="str">
        <f>MRP!A12</f>
        <v>brancol 30%</v>
      </c>
      <c r="B51" s="25">
        <f>MRP!B12</f>
        <v>0</v>
      </c>
      <c r="C51" s="32">
        <f>IFERROR(AVERAGEIF(Registro_Produção!$B:$B,A51,Registro_Produção!$K:$K),"Sem dados")</f>
        <v>8.1538461538461532E-2</v>
      </c>
      <c r="D51" s="25">
        <f>SUMPRODUCT((Registro_Produção!$B$2:$B$2071=A51)*(ISNUMBER(Registro_Produção!$K$2:$K$2071)))</f>
        <v>1</v>
      </c>
      <c r="E51" s="57">
        <f t="shared" si="1"/>
        <v>0</v>
      </c>
    </row>
    <row r="52" spans="1:5" x14ac:dyDescent="0.25">
      <c r="A52" s="24" t="str">
        <f>MRP!A13</f>
        <v>Cln 140</v>
      </c>
      <c r="B52" s="25">
        <f>MRP!B13</f>
        <v>0</v>
      </c>
      <c r="C52" s="32" t="str">
        <f>IFERROR(AVERAGEIF(Registro_Produção!$B:$B,A52,Registro_Produção!$K:$K),"Sem dados")</f>
        <v>Sem dados</v>
      </c>
      <c r="D52" s="25">
        <f>SUMPRODUCT((Registro_Produção!$B$2:$B$2071=A52)*(ISNUMBER(Registro_Produção!$K$2:$K$2071)))</f>
        <v>0</v>
      </c>
      <c r="E52" s="57">
        <f t="shared" si="1"/>
        <v>0</v>
      </c>
    </row>
    <row r="53" spans="1:5" x14ac:dyDescent="0.25">
      <c r="A53" s="24" t="str">
        <f>MRP!A14</f>
        <v>pac reduzido</v>
      </c>
      <c r="B53" s="25">
        <f>MRP!B14</f>
        <v>0</v>
      </c>
      <c r="C53" s="32">
        <f>IFERROR(AVERAGEIF(Registro_Produção!$B:$B,A53,Registro_Produção!$K:$K),"Sem dados")</f>
        <v>5.3333333333333337E-2</v>
      </c>
      <c r="D53" s="25">
        <f>SUMPRODUCT((Registro_Produção!$B$2:$B$2071=A53)*(ISNUMBER(Registro_Produção!$K$2:$K$2071)))</f>
        <v>1</v>
      </c>
      <c r="E53" s="57">
        <f t="shared" si="1"/>
        <v>0</v>
      </c>
    </row>
    <row r="54" spans="1:5" x14ac:dyDescent="0.25">
      <c r="A54" s="24" t="str">
        <f>MRP!A15</f>
        <v>sabão industrial</v>
      </c>
      <c r="B54" s="25">
        <f>MRP!B15</f>
        <v>0</v>
      </c>
      <c r="C54" s="32" t="str">
        <f>IFERROR(AVERAGEIF(Registro_Produção!$B:$B,A54,Registro_Produção!$K:$K),"Sem dados")</f>
        <v>Sem dados</v>
      </c>
      <c r="D54" s="25">
        <f>SUMPRODUCT((Registro_Produção!$B$2:$B$2071=A54)*(ISNUMBER(Registro_Produção!$K$2:$K$2071)))</f>
        <v>0</v>
      </c>
      <c r="E54" s="57">
        <f t="shared" si="1"/>
        <v>0</v>
      </c>
    </row>
    <row r="55" spans="1:5" x14ac:dyDescent="0.25">
      <c r="A55" s="24" t="str">
        <f>MRP!A16</f>
        <v>detergente clorado</v>
      </c>
      <c r="B55" s="25">
        <f>MRP!B16</f>
        <v>2000</v>
      </c>
      <c r="C55" s="32">
        <f>IFERROR(AVERAGEIF(Registro_Produção!$B:$B,A55,Registro_Produção!$K:$K),"Sem dados")</f>
        <v>7.1999999999999995E-2</v>
      </c>
      <c r="D55" s="25">
        <f>SUMPRODUCT((Registro_Produção!$B$2:$B$2071=A55)*(ISNUMBER(Registro_Produção!$K$2:$K$2071)))</f>
        <v>1</v>
      </c>
      <c r="E55" s="57">
        <f t="shared" si="1"/>
        <v>2.4</v>
      </c>
    </row>
    <row r="56" spans="1:5" x14ac:dyDescent="0.25">
      <c r="A56" s="24" t="str">
        <f>MRP!A17</f>
        <v>Antiespumante silicone</v>
      </c>
      <c r="B56" s="25">
        <f>MRP!B17</f>
        <v>0</v>
      </c>
      <c r="C56" s="32">
        <f>IFERROR(AVERAGEIF(Registro_Produção!$B:$B,A56,Registro_Produção!$K:$K),"Sem dados")</f>
        <v>7.4999999999999997E-3</v>
      </c>
      <c r="D56" s="25">
        <f>SUMPRODUCT((Registro_Produção!$B$2:$B$2071=A56)*(ISNUMBER(Registro_Produção!$K$2:$K$2071)))</f>
        <v>1</v>
      </c>
      <c r="E56" s="57">
        <f t="shared" si="1"/>
        <v>0</v>
      </c>
    </row>
    <row r="57" spans="1:5" x14ac:dyDescent="0.25">
      <c r="A57" s="24" t="str">
        <f>MRP!A18</f>
        <v>Bac 50</v>
      </c>
      <c r="B57" s="25">
        <f>MRP!B18</f>
        <v>0</v>
      </c>
      <c r="C57" s="32" t="str">
        <f>IFERROR(AVERAGEIF(Registro_Produção!$B:$B,A57,Registro_Produção!$K:$K),"Sem dados")</f>
        <v>Sem dados</v>
      </c>
      <c r="D57" s="25">
        <f>SUMPRODUCT((Registro_Produção!$B$2:$B$2071=A57)*(ISNUMBER(Registro_Produção!$K$2:$K$2071)))</f>
        <v>0</v>
      </c>
      <c r="E57" s="57">
        <f t="shared" si="1"/>
        <v>0</v>
      </c>
    </row>
    <row r="58" spans="1:5" x14ac:dyDescent="0.25">
      <c r="A58" s="24" t="str">
        <f>MRP!A19</f>
        <v>avancolor 500</v>
      </c>
      <c r="B58" s="25">
        <f>MRP!B19</f>
        <v>0</v>
      </c>
      <c r="C58" s="32" t="str">
        <f>IFERROR(AVERAGEIF(Registro_Produção!$B:$B,A58,Registro_Produção!$K:$K),"Sem dados")</f>
        <v>Sem dados</v>
      </c>
      <c r="D58" s="25">
        <f>SUMPRODUCT((Registro_Produção!$B$2:$B$2071=A58)*(ISNUMBER(Registro_Produção!$K$2:$K$2071)))</f>
        <v>0</v>
      </c>
      <c r="E58" s="57">
        <f t="shared" si="1"/>
        <v>0</v>
      </c>
    </row>
    <row r="59" spans="1:5" x14ac:dyDescent="0.25">
      <c r="A59" s="24" t="str">
        <f>MRP!A20</f>
        <v>acido acetico 70%</v>
      </c>
      <c r="B59" s="25">
        <f>MRP!B20</f>
        <v>0</v>
      </c>
      <c r="C59" s="32">
        <f>IFERROR(AVERAGEIF(Registro_Produção!$B:$B,A59,Registro_Produção!$K:$K),"Sem dados")</f>
        <v>0</v>
      </c>
      <c r="D59" s="25">
        <f>SUMPRODUCT((Registro_Produção!$B$2:$B$2071=A59)*(ISNUMBER(Registro_Produção!$K$2:$K$2071)))</f>
        <v>1</v>
      </c>
      <c r="E59" s="57">
        <f t="shared" si="1"/>
        <v>0</v>
      </c>
    </row>
    <row r="60" spans="1:5" x14ac:dyDescent="0.25">
      <c r="A60" s="24" t="str">
        <f>MRP!A21</f>
        <v>Bac 40</v>
      </c>
      <c r="B60" s="25">
        <f>MRP!B21</f>
        <v>0</v>
      </c>
      <c r="C60" s="32">
        <f>IFERROR(AVERAGEIF(Registro_Produção!$B:$B,A60,Registro_Produção!$K:$K),"Sem dados")</f>
        <v>4.8333333333333339E-2</v>
      </c>
      <c r="D60" s="25">
        <f>SUMPRODUCT((Registro_Produção!$B$2:$B$2071=A60)*(ISNUMBER(Registro_Produção!$K$2:$K$2071)))</f>
        <v>3</v>
      </c>
      <c r="E60" s="57">
        <f t="shared" si="1"/>
        <v>0</v>
      </c>
    </row>
    <row r="61" spans="1:5" x14ac:dyDescent="0.25">
      <c r="A61" s="24" t="str">
        <f>MRP!A22</f>
        <v>Antiespumante vegetal</v>
      </c>
      <c r="B61" s="25">
        <f>MRP!B22</f>
        <v>0</v>
      </c>
      <c r="C61" s="32" t="str">
        <f>IFERROR(AVERAGEIF(Registro_Produção!$B:$B,A61,Registro_Produção!$K:$K),"Sem dados")</f>
        <v>Sem dados</v>
      </c>
      <c r="D61" s="25">
        <f>SUMPRODUCT((Registro_Produção!$B$2:$B$2071=A61)*(ISNUMBER(Registro_Produção!$K$2:$K$2071)))</f>
        <v>0</v>
      </c>
      <c r="E61" s="57">
        <f t="shared" si="1"/>
        <v>0</v>
      </c>
    </row>
    <row r="62" spans="1:5" x14ac:dyDescent="0.25">
      <c r="A62" s="24" t="str">
        <f>MRP!A24</f>
        <v>Detergente neutro</v>
      </c>
      <c r="B62" s="25">
        <f>MRP!B24</f>
        <v>0</v>
      </c>
      <c r="C62" s="32">
        <f>IFERROR(AVERAGEIF(Registro_Produção!$B:$B,A62,Registro_Produção!$K:$K),"Sem dados")</f>
        <v>8.3499999999999991E-2</v>
      </c>
      <c r="D62" s="25">
        <f>SUMPRODUCT((Registro_Produção!$B$2:$B$2071=A62)*(ISNUMBER(Registro_Produção!$K$2:$K$2071)))</f>
        <v>2</v>
      </c>
      <c r="E62" s="57">
        <f t="shared" si="1"/>
        <v>0</v>
      </c>
    </row>
    <row r="63" spans="1:5" x14ac:dyDescent="0.25">
      <c r="A63" s="24" t="str">
        <f>MRP!A25</f>
        <v>clorito 31%</v>
      </c>
      <c r="B63" s="25">
        <f>MRP!B25</f>
        <v>0</v>
      </c>
      <c r="C63" s="32">
        <f>IFERROR(AVERAGEIF(Registro_Produção!$B:$B,A63,Registro_Produção!$K:$K),"Sem dados")</f>
        <v>1.419259259259259E-2</v>
      </c>
      <c r="D63" s="25">
        <f>SUMPRODUCT((Registro_Produção!$B$2:$B$2071=A63)*(ISNUMBER(Registro_Produção!$K$2:$K$2071)))</f>
        <v>3</v>
      </c>
      <c r="E63" s="57">
        <f t="shared" si="1"/>
        <v>0</v>
      </c>
    </row>
    <row r="64" spans="1:5" x14ac:dyDescent="0.25">
      <c r="A64" s="24" t="str">
        <f>MRP!A26</f>
        <v>Acido acetico 75%</v>
      </c>
      <c r="B64" s="25">
        <f>MRP!B26</f>
        <v>0</v>
      </c>
      <c r="C64" s="32">
        <f>IFERROR(AVERAGEIF(Registro_Produção!$B:$B,A64,Registro_Produção!$K:$K),"Sem dados")</f>
        <v>3.4957983193277309E-2</v>
      </c>
      <c r="D64" s="25">
        <f>SUMPRODUCT((Registro_Produção!$B$2:$B$2071=A64)*(ISNUMBER(Registro_Produção!$K$2:$K$2071)))</f>
        <v>2</v>
      </c>
      <c r="E64" s="57">
        <f t="shared" si="1"/>
        <v>0</v>
      </c>
    </row>
    <row r="65" spans="1:5" x14ac:dyDescent="0.25">
      <c r="A65" s="24" t="str">
        <f>MRP!A27</f>
        <v>avanfloc 300P</v>
      </c>
      <c r="B65" s="25">
        <f>MRP!B27</f>
        <v>0</v>
      </c>
      <c r="C65" s="32">
        <f>IFERROR(AVERAGEIF(Registro_Produção!$B:$B,A65,Registro_Produção!$K:$K),"Sem dados")</f>
        <v>1.5599999999999999E-2</v>
      </c>
      <c r="D65" s="25">
        <f>SUMPRODUCT((Registro_Produção!$B$2:$B$2071=A65)*(ISNUMBER(Registro_Produção!$K$2:$K$2071)))</f>
        <v>2</v>
      </c>
      <c r="E65" s="57">
        <f t="shared" si="1"/>
        <v>0</v>
      </c>
    </row>
    <row r="66" spans="1:5" x14ac:dyDescent="0.25">
      <c r="A66" s="24" t="str">
        <f>MRP!A28</f>
        <v>Dietanolamina  85%</v>
      </c>
      <c r="B66" s="25">
        <f>MRP!B28</f>
        <v>0</v>
      </c>
      <c r="C66" s="32">
        <f>IFERROR(AVERAGEIF(Registro_Produção!$B:$B,A66,Registro_Produção!$K:$K),"Sem dados")</f>
        <v>4.5999999999999999E-2</v>
      </c>
      <c r="D66" s="25">
        <f>SUMPRODUCT((Registro_Produção!$B$2:$B$2071=A66)*(ISNUMBER(Registro_Produção!$K$2:$K$2071)))</f>
        <v>1</v>
      </c>
      <c r="E66" s="57">
        <f t="shared" si="1"/>
        <v>0</v>
      </c>
    </row>
    <row r="67" spans="1:5" x14ac:dyDescent="0.25">
      <c r="A67" s="24" t="str">
        <f>MRP!A29</f>
        <v>alcool 96</v>
      </c>
      <c r="B67" s="25">
        <f>MRP!B29</f>
        <v>0</v>
      </c>
      <c r="C67" s="32">
        <f>IFERROR(AVERAGEIF(Registro_Produção!$B:$B,A67,Registro_Produção!$K:$K),"Sem dados")</f>
        <v>5.0000000000000001E-3</v>
      </c>
      <c r="D67" s="25">
        <f>SUMPRODUCT((Registro_Produção!$B$2:$B$2071=A67)*(ISNUMBER(Registro_Produção!$K$2:$K$2071)))</f>
        <v>1</v>
      </c>
      <c r="E67" s="57">
        <f t="shared" si="1"/>
        <v>0</v>
      </c>
    </row>
    <row r="68" spans="1:5" x14ac:dyDescent="0.25">
      <c r="A68" s="24" t="str">
        <f>MRP!A31</f>
        <v>Less solução</v>
      </c>
      <c r="B68" s="25">
        <f>MRP!B31</f>
        <v>5250</v>
      </c>
      <c r="C68" s="32">
        <f>IFERROR(AVERAGEIF(Registro_Produção!$B:$B,A68,Registro_Produção!$K:$K),"Sem dados")</f>
        <v>3.9206349206349203E-2</v>
      </c>
      <c r="D68" s="25">
        <f>SUMPRODUCT((Registro_Produção!$B$2:$B$2071=A68)*(ISNUMBER(Registro_Produção!$K$2:$K$2071)))</f>
        <v>2</v>
      </c>
      <c r="E68" s="57">
        <f t="shared" si="1"/>
        <v>3.4305555555555554</v>
      </c>
    </row>
    <row r="69" spans="1:5" x14ac:dyDescent="0.25">
      <c r="A69" s="24" t="str">
        <f>MRP!A33</f>
        <v>Avanil (butil glicol)</v>
      </c>
      <c r="B69" s="25">
        <f>MRP!B33</f>
        <v>3600</v>
      </c>
      <c r="C69" s="32">
        <f>IFERROR(AVERAGEIF(Registro_Produção!$B:$B,A69,Registro_Produção!$K:$K),"Sem dados")</f>
        <v>3.7101851851851851E-2</v>
      </c>
      <c r="D69" s="25">
        <f>SUMPRODUCT((Registro_Produção!$B$2:$B$2071=A69)*(ISNUMBER(Registro_Produção!$K$2:$K$2071)))</f>
        <v>4</v>
      </c>
      <c r="E69" s="57">
        <f t="shared" si="1"/>
        <v>2.2261111111111109</v>
      </c>
    </row>
    <row r="70" spans="1:5" x14ac:dyDescent="0.25">
      <c r="A70" s="24" t="str">
        <f>MRP!A36</f>
        <v>Avanclor 80</v>
      </c>
      <c r="B70" s="25">
        <f>MRP!B36</f>
        <v>6000</v>
      </c>
      <c r="C70" s="32">
        <f>IFERROR(AVERAGEIF(Registro_Produção!$B:$B,A70,Registro_Produção!$K:$K),"Sem dados")</f>
        <v>1.4593749999999999E-2</v>
      </c>
      <c r="D70" s="25">
        <f>SUMPRODUCT((Registro_Produção!$B$2:$B$2071=A70)*(ISNUMBER(Registro_Produção!$K$2:$K$2071)))</f>
        <v>4</v>
      </c>
      <c r="E70" s="57">
        <f t="shared" si="1"/>
        <v>1.4593750000000001</v>
      </c>
    </row>
    <row r="71" spans="1:5" x14ac:dyDescent="0.25">
      <c r="A71" s="28" t="s">
        <v>180</v>
      </c>
      <c r="E71" s="58">
        <f>SUM(E45:E70)</f>
        <v>10.082708333333333</v>
      </c>
    </row>
    <row r="72" spans="1:5" x14ac:dyDescent="0.25">
      <c r="A72" s="68" t="s">
        <v>205</v>
      </c>
      <c r="B72" s="64"/>
      <c r="C72" s="64"/>
      <c r="D72" s="64"/>
      <c r="E72" s="64"/>
    </row>
    <row r="74" spans="1:5" x14ac:dyDescent="0.25">
      <c r="A74" t="s">
        <v>206</v>
      </c>
      <c r="B74" t="s">
        <v>207</v>
      </c>
      <c r="C74" t="s">
        <v>208</v>
      </c>
      <c r="D74" t="s">
        <v>209</v>
      </c>
      <c r="E74" t="s">
        <v>74</v>
      </c>
    </row>
    <row r="75" spans="1:5" x14ac:dyDescent="0.25">
      <c r="A75" t="s">
        <v>210</v>
      </c>
      <c r="B75">
        <f>E11</f>
        <v>27.772435897435898</v>
      </c>
      <c r="C75">
        <f>B12</f>
        <v>96</v>
      </c>
      <c r="D75">
        <f>B13</f>
        <v>68.227564102564102</v>
      </c>
      <c r="E75" t="str">
        <f>B14</f>
        <v>CABE NA CAPACIDADE</v>
      </c>
    </row>
    <row r="76" spans="1:5" x14ac:dyDescent="0.25">
      <c r="A76" t="s">
        <v>211</v>
      </c>
      <c r="B76">
        <f>B25</f>
        <v>0</v>
      </c>
      <c r="C76">
        <f>B26</f>
        <v>96</v>
      </c>
      <c r="D76">
        <f>B27</f>
        <v>96</v>
      </c>
      <c r="E76" t="str">
        <f>B28</f>
        <v>CABE NA CAPACIDADE</v>
      </c>
    </row>
    <row r="77" spans="1:5" x14ac:dyDescent="0.25">
      <c r="A77" t="s">
        <v>212</v>
      </c>
      <c r="B77">
        <f>B30</f>
        <v>56.501389676452348</v>
      </c>
      <c r="C77">
        <f>B31</f>
        <v>96</v>
      </c>
      <c r="D77">
        <f>B32</f>
        <v>39.498610323547652</v>
      </c>
      <c r="E77" t="str">
        <f>B33</f>
        <v>CABE NA CAPACIDADE</v>
      </c>
    </row>
    <row r="78" spans="1:5" x14ac:dyDescent="0.25">
      <c r="A78" t="s">
        <v>213</v>
      </c>
      <c r="B78">
        <f>E38</f>
        <v>0</v>
      </c>
      <c r="C78">
        <f>B39</f>
        <v>96</v>
      </c>
      <c r="D78">
        <f>B40</f>
        <v>96</v>
      </c>
      <c r="E78" t="str">
        <f>B41</f>
        <v>CABE NA CAPACIDADE</v>
      </c>
    </row>
  </sheetData>
  <mergeCells count="7">
    <mergeCell ref="A43:E43"/>
    <mergeCell ref="A72:E72"/>
    <mergeCell ref="A1:F1"/>
    <mergeCell ref="A3:E3"/>
    <mergeCell ref="A8:E8"/>
    <mergeCell ref="A16:F16"/>
    <mergeCell ref="A35:E35"/>
  </mergeCells>
  <conditionalFormatting sqref="B14 B28 B33 B41">
    <cfRule type="containsText" dxfId="1" priority="1" operator="containsText" text="ESTOURA">
      <formula>NOT(ISERROR(SEARCH("ESTOURA",B14)))</formula>
    </cfRule>
    <cfRule type="containsText" dxfId="0" priority="2" operator="containsText" text="CABE NA">
      <formula>NOT(ISERROR(SEARCH("CABE NA",B14)))</formula>
    </cfRule>
  </conditionalFormatting>
  <dataValidations count="1">
    <dataValidation type="list" allowBlank="1" showInputMessage="1" showErrorMessage="1" sqref="F18:F23" xr:uid="{00000000-0002-0000-0500-000000000000}">
      <formula1>"Reator 2,Reator 3"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Cadastro_MP</vt:lpstr>
      <vt:lpstr>Registro_Produção</vt:lpstr>
      <vt:lpstr>Painel de Produção</vt:lpstr>
      <vt:lpstr>Média</vt:lpstr>
      <vt:lpstr>MRP</vt:lpstr>
      <vt:lpstr>CRP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avanzi quimica</dc:creator>
  <cp:lastModifiedBy>Alcebiades correia de oliveira neto</cp:lastModifiedBy>
  <cp:lastPrinted>2026-03-25T13:35:21Z</cp:lastPrinted>
  <dcterms:created xsi:type="dcterms:W3CDTF">2026-02-23T13:07:59Z</dcterms:created>
  <dcterms:modified xsi:type="dcterms:W3CDTF">2026-06-22T22:56:14Z</dcterms:modified>
</cp:coreProperties>
</file>